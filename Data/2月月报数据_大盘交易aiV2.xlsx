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图表+透视表" sheetId="4" r:id="rId1"/>
    <sheet name="首借交易源数据" sheetId="1" r:id="rId2"/>
    <sheet name="Sheet1" sheetId="5" r:id="rId3"/>
    <sheet name="Sheet2" sheetId="2" r:id="rId4"/>
    <sheet name="Sheet3" sheetId="3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<sst xmlns="http://schemas.openxmlformats.org/spreadsheetml/2006/main" count="1573" uniqueCount="47">
  <si>
    <t>by客群交易</t>
  </si>
  <si>
    <t>筛选条件：user_group去掉"其他"</t>
  </si>
  <si>
    <t>求和项:loan_principal_amount</t>
  </si>
  <si>
    <t>month</t>
  </si>
  <si>
    <t>user_group</t>
  </si>
  <si>
    <t>当月首登M0</t>
  </si>
  <si>
    <t>存量首登M0</t>
  </si>
  <si>
    <t>初审M1+</t>
  </si>
  <si>
    <t>非初审-重申</t>
  </si>
  <si>
    <t>非初审-重审及其他</t>
  </si>
  <si>
    <t>API回流</t>
  </si>
  <si>
    <t>总计</t>
  </si>
  <si>
    <t>数据处理："非初审"="非初审-重申"+"非初审-重审及其他"</t>
  </si>
  <si>
    <t>user_group2</t>
  </si>
  <si>
    <t>非初审</t>
  </si>
  <si>
    <t>文字性描述：</t>
  </si>
  <si>
    <t>X月1-7评级首借交易（24h口径）总额XX亿元，环比减少XX亿，下降XX%</t>
  </si>
  <si>
    <t>图表描述：</t>
  </si>
  <si>
    <t>标题：</t>
  </si>
  <si>
    <t>首借交易额-24h</t>
  </si>
  <si>
    <t>指标，</t>
  </si>
  <si>
    <t>横纵轴：</t>
  </si>
  <si>
    <t>横轴：月份；纵轴：首借交易额-24h</t>
  </si>
  <si>
    <t>图表类型：</t>
  </si>
  <si>
    <t>堆积柱状图+总计折线图</t>
  </si>
  <si>
    <t>图例位置：</t>
  </si>
  <si>
    <t>下方</t>
  </si>
  <si>
    <t>数据标签及格式：</t>
  </si>
  <si>
    <t>kq_cnt</t>
  </si>
  <si>
    <t>fq_cnt</t>
  </si>
  <si>
    <t>tg_cnt</t>
  </si>
  <si>
    <t>dz_cnt</t>
  </si>
  <si>
    <t>first_risk_credit_limit_btch</t>
  </si>
  <si>
    <t>loan_principal_amount</t>
  </si>
  <si>
    <t>渠道类别</t>
  </si>
  <si>
    <t>抖音</t>
  </si>
  <si>
    <t>其他信息流</t>
  </si>
  <si>
    <t>免费渠道</t>
  </si>
  <si>
    <t>其他CPA渠道</t>
  </si>
  <si>
    <t>MGM</t>
  </si>
  <si>
    <t>付费商店</t>
  </si>
  <si>
    <t>腾讯</t>
  </si>
  <si>
    <t>其他</t>
  </si>
  <si>
    <t>精准营销</t>
  </si>
  <si>
    <t>API</t>
  </si>
  <si>
    <t>\N</t>
  </si>
  <si>
    <t>计数项:loan_principal_amount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</si>
</sst>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.&quot;00,,&quot;亿&quot;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2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0">
    <xf numFmtId="0" fontId="0" fillId="0" borderId="0" xfId="0" applyAlignment="1">
      <alignment vertical="center"/>
    </xf>
    <xf numFmtId="17" fontId="0" fillId="0" borderId="0" xfId="0" applyNumberFormat="1" applyAlignment="1">
      <alignment vertical="center"/>
    </xf>
    <xf numFmtId="0" fontId="0" fillId="0" borderId="0" xfId="0">
      <alignment vertical="center"/>
    </xf>
    <xf numFmtId="17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1" fillId="0" borderId="0" xfId="0" applyFont="1">
      <alignment vertical="center"/>
    </xf>
    <xf numFmtId="176" fontId="0" fillId="0" borderId="0" xfId="0" applyNumberFormat="1" applyAlignment="1">
      <alignment vertical="center"/>
    </xf>
    <xf numFmtId="17" fontId="2" fillId="3" borderId="1" xfId="0" applyNumberFormat="1" applyFont="1" applyFill="1" applyBorder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numFmt numFmtId="177" formatCode="0&quot;.&quot;0,&quot;万&quot;"/>
    </dxf>
    <dxf>
      <numFmt numFmtId="176" formatCode="0&quot;.&quot;00,,&quot;亿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  <a:r>
              <a:rPr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首借交易额</a:t>
            </a:r>
            <a:r>
              <a:rPr lang="en-US" altLang="zh-CN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-24H</a:t>
            </a:r>
            <a:endParaRPr lang="en-US" altLang="zh-CN"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endParaRPr>
          </a:p>
        </c:rich>
      </c:tx>
      <c:layout>
        <c:manualLayout>
          <c:xMode val="edge"/>
          <c:yMode val="edge"/>
          <c:x val="0.435065744375896"/>
          <c:y val="0.01664884680006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0189657352383361"/>
          <c:y val="0.0509084956621378"/>
          <c:w val="0.972183588317107"/>
          <c:h val="0.722278605336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'图表+透视表'!$B$19</c:f>
              <c:strCache>
                <c:ptCount val="1"/>
                <c:pt idx="0">
                  <c:v>当月首登M0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'图表+透视表'!$C$18:$P$18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'图表+透视表'!$C$19:$P$19</c:f>
              <c:numCache>
                <c:formatCode>0"."00,,"亿"</c:formatCode>
                <c:ptCount val="14"/>
                <c:pt idx="0">
                  <c:v>900139442.28</c:v>
                </c:pt>
                <c:pt idx="1">
                  <c:v>534939954.59</c:v>
                </c:pt>
                <c:pt idx="2">
                  <c:v>544347059.65</c:v>
                </c:pt>
                <c:pt idx="3">
                  <c:v>588595897.68</c:v>
                </c:pt>
                <c:pt idx="4">
                  <c:v>721455224.3</c:v>
                </c:pt>
                <c:pt idx="5">
                  <c:v>777848415</c:v>
                </c:pt>
                <c:pt idx="6">
                  <c:v>679955345</c:v>
                </c:pt>
                <c:pt idx="7">
                  <c:v>816690295</c:v>
                </c:pt>
                <c:pt idx="8">
                  <c:v>823642200</c:v>
                </c:pt>
                <c:pt idx="9">
                  <c:v>627222400</c:v>
                </c:pt>
                <c:pt idx="10">
                  <c:v>497369200</c:v>
                </c:pt>
                <c:pt idx="11">
                  <c:v>409540900</c:v>
                </c:pt>
                <c:pt idx="12">
                  <c:v>383897400</c:v>
                </c:pt>
                <c:pt idx="13">
                  <c:v>302368900</c:v>
                </c:pt>
              </c:numCache>
            </c:numRef>
          </c:val>
        </c:ser>
        <c:ser>
          <c:idx val="1"/>
          <c:order val="1"/>
          <c:tx>
            <c:strRef>
              <c:f>'图表+透视表'!$B$20</c:f>
              <c:strCache>
                <c:ptCount val="1"/>
                <c:pt idx="0">
                  <c:v>存量首登M0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'图表+透视表'!$C$18:$P$18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'图表+透视表'!$C$20:$P$20</c:f>
              <c:numCache>
                <c:formatCode>0"."00,,"亿"</c:formatCode>
                <c:ptCount val="14"/>
                <c:pt idx="0">
                  <c:v>250285010.59</c:v>
                </c:pt>
                <c:pt idx="1">
                  <c:v>158969517.89</c:v>
                </c:pt>
                <c:pt idx="2">
                  <c:v>163741791.17</c:v>
                </c:pt>
                <c:pt idx="3">
                  <c:v>164417147.43</c:v>
                </c:pt>
                <c:pt idx="4">
                  <c:v>196817301.6</c:v>
                </c:pt>
                <c:pt idx="5">
                  <c:v>213125261.06</c:v>
                </c:pt>
                <c:pt idx="6">
                  <c:v>185716349.99</c:v>
                </c:pt>
                <c:pt idx="7">
                  <c:v>212741129.76</c:v>
                </c:pt>
                <c:pt idx="8">
                  <c:v>232657939.71</c:v>
                </c:pt>
                <c:pt idx="9">
                  <c:v>181593300</c:v>
                </c:pt>
                <c:pt idx="10">
                  <c:v>143930800</c:v>
                </c:pt>
                <c:pt idx="11">
                  <c:v>120550700</c:v>
                </c:pt>
                <c:pt idx="12">
                  <c:v>104798300</c:v>
                </c:pt>
                <c:pt idx="13">
                  <c:v>89353600</c:v>
                </c:pt>
              </c:numCache>
            </c:numRef>
          </c:val>
        </c:ser>
        <c:ser>
          <c:idx val="2"/>
          <c:order val="2"/>
          <c:tx>
            <c:strRef>
              <c:f>'图表+透视表'!$B$21</c:f>
              <c:strCache>
                <c:ptCount val="1"/>
                <c:pt idx="0">
                  <c:v>初审M1+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'图表+透视表'!$C$18:$P$18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'图表+透视表'!$C$21:$P$21</c:f>
              <c:numCache>
                <c:formatCode>0"."00,,"亿"</c:formatCode>
                <c:ptCount val="14"/>
                <c:pt idx="0">
                  <c:v>185056096.06</c:v>
                </c:pt>
                <c:pt idx="1">
                  <c:v>126574976.52</c:v>
                </c:pt>
                <c:pt idx="2">
                  <c:v>130670629.44</c:v>
                </c:pt>
                <c:pt idx="3">
                  <c:v>141460791.5</c:v>
                </c:pt>
                <c:pt idx="4">
                  <c:v>143749489.61</c:v>
                </c:pt>
                <c:pt idx="5">
                  <c:v>147762352.22</c:v>
                </c:pt>
                <c:pt idx="6">
                  <c:v>142597686.01</c:v>
                </c:pt>
                <c:pt idx="7">
                  <c:v>157507962.68</c:v>
                </c:pt>
                <c:pt idx="8">
                  <c:v>169398117.6</c:v>
                </c:pt>
                <c:pt idx="9">
                  <c:v>160428878.46</c:v>
                </c:pt>
                <c:pt idx="10">
                  <c:v>140473400</c:v>
                </c:pt>
                <c:pt idx="11">
                  <c:v>114509300</c:v>
                </c:pt>
                <c:pt idx="12">
                  <c:v>105366600</c:v>
                </c:pt>
                <c:pt idx="13">
                  <c:v>67629500</c:v>
                </c:pt>
              </c:numCache>
            </c:numRef>
          </c:val>
        </c:ser>
        <c:ser>
          <c:idx val="3"/>
          <c:order val="3"/>
          <c:tx>
            <c:strRef>
              <c:f>'图表+透视表'!$B$22</c:f>
              <c:strCache>
                <c:ptCount val="1"/>
                <c:pt idx="0">
                  <c:v>非初审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'图表+透视表'!$C$18:$P$18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'图表+透视表'!$C$22:$P$22</c:f>
              <c:numCache>
                <c:formatCode>0"."00,,"亿"</c:formatCode>
                <c:ptCount val="14"/>
                <c:pt idx="0">
                  <c:v>121544073.3</c:v>
                </c:pt>
                <c:pt idx="1">
                  <c:v>121376441.86</c:v>
                </c:pt>
                <c:pt idx="2">
                  <c:v>194806955.81</c:v>
                </c:pt>
                <c:pt idx="3">
                  <c:v>187565417.53</c:v>
                </c:pt>
                <c:pt idx="4">
                  <c:v>144761249.42</c:v>
                </c:pt>
                <c:pt idx="5">
                  <c:v>132897697.35</c:v>
                </c:pt>
                <c:pt idx="6">
                  <c:v>86837418.78</c:v>
                </c:pt>
                <c:pt idx="7">
                  <c:v>90061126.54</c:v>
                </c:pt>
                <c:pt idx="8">
                  <c:v>77120048.68</c:v>
                </c:pt>
                <c:pt idx="9">
                  <c:v>103636400</c:v>
                </c:pt>
                <c:pt idx="10">
                  <c:v>137177400</c:v>
                </c:pt>
                <c:pt idx="11">
                  <c:v>70282500</c:v>
                </c:pt>
                <c:pt idx="12">
                  <c:v>43254400</c:v>
                </c:pt>
                <c:pt idx="13">
                  <c:v>20944800</c:v>
                </c:pt>
              </c:numCache>
            </c:numRef>
          </c:val>
        </c:ser>
        <c:ser>
          <c:idx val="4"/>
          <c:order val="4"/>
          <c:tx>
            <c:strRef>
              <c:f>'图表+透视表'!$B$23</c:f>
              <c:strCache>
                <c:ptCount val="1"/>
                <c:pt idx="0">
                  <c:v>API回流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numRef>
              <c:f>'图表+透视表'!$C$18:$P$18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'图表+透视表'!$C$23:$P$23</c:f>
              <c:numCache>
                <c:formatCode>0"."00,,"亿"</c:formatCode>
                <c:ptCount val="14"/>
                <c:pt idx="0">
                  <c:v>38847991.69</c:v>
                </c:pt>
                <c:pt idx="1">
                  <c:v>27224935.59</c:v>
                </c:pt>
                <c:pt idx="2">
                  <c:v>31104786.87</c:v>
                </c:pt>
                <c:pt idx="3">
                  <c:v>29124759.51</c:v>
                </c:pt>
                <c:pt idx="4">
                  <c:v>35700879.17</c:v>
                </c:pt>
                <c:pt idx="5">
                  <c:v>33108592.24</c:v>
                </c:pt>
                <c:pt idx="6">
                  <c:v>27588704</c:v>
                </c:pt>
                <c:pt idx="7">
                  <c:v>29044244.37</c:v>
                </c:pt>
                <c:pt idx="8">
                  <c:v>23403064.99</c:v>
                </c:pt>
                <c:pt idx="9">
                  <c:v>20097368.8</c:v>
                </c:pt>
                <c:pt idx="10">
                  <c:v>13855800</c:v>
                </c:pt>
                <c:pt idx="11">
                  <c:v>7033000</c:v>
                </c:pt>
                <c:pt idx="12">
                  <c:v>3886400</c:v>
                </c:pt>
                <c:pt idx="13">
                  <c:v>77900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567874906"/>
        <c:axId val="996767428"/>
      </c:barChart>
      <c:lineChart>
        <c:grouping val="standard"/>
        <c:varyColors val="0"/>
        <c:ser>
          <c:idx val="5"/>
          <c:order val="5"/>
          <c:tx>
            <c:strRef>
              <c:f>'图表+透视表'!$B$24</c:f>
              <c:strCache>
                <c:ptCount val="1"/>
                <c:pt idx="0">
                  <c:v>总计</c:v>
                </c:pt>
              </c:strCache>
            </c:strRef>
          </c:tx>
          <c:spPr>
            <a:ln w="28575" cap="rnd" cmpd="sng">
              <a:solidFill>
                <a:srgbClr val="FF0000"/>
              </a:solidFill>
              <a:prstDash val="solid"/>
              <a:round/>
              <a:headEnd type="none"/>
              <a:tailEnd type="none"/>
            </a:ln>
            <a:effectLst/>
            <a:sp3d contourW="28575"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'图表+透视表'!$C$18:$P$18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'图表+透视表'!$C$24:$P$24</c:f>
              <c:numCache>
                <c:formatCode>0"."00,,"亿"</c:formatCode>
                <c:ptCount val="14"/>
                <c:pt idx="0">
                  <c:v>1495872613.92</c:v>
                </c:pt>
                <c:pt idx="1">
                  <c:v>969085826.45</c:v>
                </c:pt>
                <c:pt idx="2">
                  <c:v>1064671222.94</c:v>
                </c:pt>
                <c:pt idx="3">
                  <c:v>1111164013.65</c:v>
                </c:pt>
                <c:pt idx="4">
                  <c:v>1242484144.1</c:v>
                </c:pt>
                <c:pt idx="5">
                  <c:v>1304742317.87</c:v>
                </c:pt>
                <c:pt idx="6">
                  <c:v>1122695503.78</c:v>
                </c:pt>
                <c:pt idx="7">
                  <c:v>1306044758.35</c:v>
                </c:pt>
                <c:pt idx="8">
                  <c:v>1326221370.98</c:v>
                </c:pt>
                <c:pt idx="9">
                  <c:v>1092978347.26</c:v>
                </c:pt>
                <c:pt idx="10">
                  <c:v>932806600</c:v>
                </c:pt>
                <c:pt idx="11">
                  <c:v>721916400</c:v>
                </c:pt>
                <c:pt idx="12">
                  <c:v>641203100</c:v>
                </c:pt>
                <c:pt idx="13">
                  <c:v>480374700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669062544"/>
        <c:axId val="712325732"/>
      </c:lineChart>
      <c:dateAx>
        <c:axId val="56787490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996767428"/>
        <c:crosses val="autoZero"/>
        <c:auto val="1"/>
        <c:lblOffset val="100"/>
        <c:baseTimeUnit val="months"/>
      </c:dateAx>
      <c:valAx>
        <c:axId val="996767428"/>
        <c:scaling>
          <c:orientation val="minMax"/>
        </c:scaling>
        <c:delete val="0"/>
        <c:axPos val="l"/>
        <c:numFmt formatCode="0&quot;.&quot;00,,&quot;亿&quot;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567874906"/>
        <c:crosses val="autoZero"/>
        <c:crossBetween val="between"/>
      </c:valAx>
      <c:dateAx>
        <c:axId val="669062544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712325732"/>
        <c:crosses val="autoZero"/>
        <c:auto val="1"/>
        <c:lblOffset val="100"/>
        <c:baseTimeUnit val="months"/>
      </c:dateAx>
      <c:valAx>
        <c:axId val="712325732"/>
        <c:scaling>
          <c:orientation val="minMax"/>
        </c:scaling>
        <c:delete val="0"/>
        <c:axPos val="r"/>
        <c:numFmt formatCode="0&quot;.&quot;00,,&quot;亿&quot;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66906254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e32d237-0b86-4792-a154-11539b897da5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[2月月报数据_大盘交易ai.xlsx]Sheet1!数据透视表1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API回流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Sheet1!$A$5:$A$20</c:f>
              <c:strCache>
                <c:ptCount val="15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</c:strCache>
            </c:strRef>
          </c:cat>
          <c:val>
            <c:numRef>
              <c:f>Sheet1!$B$5:$B$20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初审M1+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Sheet1!$A$5:$A$20</c:f>
              <c:strCache>
                <c:ptCount val="15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</c:strCache>
            </c:strRef>
          </c:cat>
          <c:val>
            <c:numRef>
              <c:f>Sheet1!$C$5:$C$20</c:f>
              <c:numCache>
                <c:formatCode>General</c:formatCode>
                <c:ptCount val="15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</c:numCache>
            </c:numRef>
          </c:val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存量首登M0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Sheet1!$A$5:$A$20</c:f>
              <c:strCache>
                <c:ptCount val="15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</c:strCache>
            </c:strRef>
          </c:cat>
          <c:val>
            <c:numRef>
              <c:f>Sheet1!$D$5:$D$20</c:f>
              <c:numCache>
                <c:formatCode>General</c:formatCode>
                <c:ptCount val="15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</c:numCache>
            </c:numRef>
          </c:val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当月首登M0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Sheet1!$A$5:$A$20</c:f>
              <c:strCache>
                <c:ptCount val="15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</c:strCache>
            </c:strRef>
          </c:cat>
          <c:val>
            <c:numRef>
              <c:f>Sheet1!$E$5:$E$20</c:f>
              <c:numCache>
                <c:formatCode>General</c:formatCode>
                <c:ptCount val="15"/>
                <c:pt idx="0">
                  <c:v>8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9</c:v>
                </c:pt>
                <c:pt idx="7">
                  <c:v>9</c:v>
                </c:pt>
                <c:pt idx="8">
                  <c:v>8</c:v>
                </c:pt>
                <c:pt idx="9">
                  <c:v>9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非初审-重申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Sheet1!$A$5:$A$20</c:f>
              <c:strCache>
                <c:ptCount val="15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</c:strCache>
            </c:strRef>
          </c:cat>
          <c:val>
            <c:numRef>
              <c:f>Sheet1!$F$5:$F$20</c:f>
              <c:numCache>
                <c:formatCode>General</c:formatCode>
                <c:ptCount val="1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非初审-重审及其他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Sheet1!$A$5:$A$20</c:f>
              <c:strCache>
                <c:ptCount val="15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</c:strCache>
            </c:strRef>
          </c:cat>
          <c:val>
            <c:numRef>
              <c:f>Sheet1!$G$5:$G$20</c:f>
              <c:numCache>
                <c:formatCode>General</c:formatCode>
                <c:ptCount val="1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</c:ser>
        <c:ser>
          <c:idx val="6"/>
          <c:order val="6"/>
          <c:tx>
            <c:strRef>
              <c:f>Sheet1!$H$3:$H$4</c:f>
              <c:strCache>
                <c:ptCount val="1"/>
                <c:pt idx="0">
                  <c:v>其他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Sheet1!$A$5:$A$20</c:f>
              <c:strCache>
                <c:ptCount val="15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</c:strCache>
            </c:strRef>
          </c:cat>
          <c:val>
            <c:numRef>
              <c:f>Sheet1!$H$5:$H$20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659847"/>
        <c:axId val="856352472"/>
      </c:barChart>
      <c:catAx>
        <c:axId val="966598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6352472"/>
        <c:crosses val="autoZero"/>
        <c:auto val="1"/>
        <c:lblAlgn val="ctr"/>
        <c:lblOffset val="100"/>
        <c:noMultiLvlLbl val="0"/>
      </c:catAx>
      <c:valAx>
        <c:axId val="856352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659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34</xdr:row>
      <xdr:rowOff>177165</xdr:rowOff>
    </xdr:from>
    <xdr:to>
      <xdr:col>14</xdr:col>
      <xdr:colOff>365760</xdr:colOff>
      <xdr:row>58</xdr:row>
      <xdr:rowOff>100965</xdr:rowOff>
    </xdr:to>
    <xdr:graphicFrame>
      <xdr:nvGraphicFramePr>
        <xdr:cNvPr id="3" name="图表 2"/>
        <xdr:cNvGraphicFramePr/>
      </xdr:nvGraphicFramePr>
      <xdr:xfrm>
        <a:off x="589915" y="6222365"/>
        <a:ext cx="10189210" cy="419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712470</xdr:colOff>
      <xdr:row>20</xdr:row>
      <xdr:rowOff>174625</xdr:rowOff>
    </xdr:from>
    <xdr:to>
      <xdr:col>4</xdr:col>
      <xdr:colOff>1023620</xdr:colOff>
      <xdr:row>36</xdr:row>
      <xdr:rowOff>73025</xdr:rowOff>
    </xdr:to>
    <xdr:graphicFrame>
      <xdr:nvGraphicFramePr>
        <xdr:cNvPr id="2" name="图表 1"/>
        <xdr:cNvGraphicFramePr/>
      </xdr:nvGraphicFramePr>
      <xdr:xfrm>
        <a:off x="712470" y="3730625"/>
        <a:ext cx="68389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4.7561574074" refreshedBy="wangmingwei" recordCount="747">
  <cacheSource type="worksheet">
    <worksheetSource ref="A1:I748" sheet="首借交易源数据"/>
  </cacheSource>
  <cacheFields count="9">
    <cacheField name="month" numFmtId="17">
      <sharedItems containsSemiMixedTypes="0" containsString="0" containsNonDate="0" containsDate="1" minDate="2025-01-01T00:00:00" maxDate="2026-03-01T00:00:00" count="15">
        <d v="2025-12-01T00:00:00"/>
        <d v="2025-09-01T00:00:00"/>
        <d v="2025-02-01T00:00:00"/>
        <d v="2025-05-01T00:00:00"/>
        <d v="2025-06-01T00:00:00"/>
        <d v="2025-10-01T00:00:00"/>
        <d v="2025-08-01T00:00:00"/>
        <d v="2025-03-01T00:00:00"/>
        <d v="2025-07-01T00:00:00"/>
        <d v="2025-11-01T00:00:00"/>
        <d v="2025-01-01T00:00:00"/>
        <d v="2026-01-01T00:00:00"/>
        <d v="2026-02-01T00:00:00"/>
        <d v="2025-04-01T00:00:00"/>
        <d v="2026-03-01T00:00:00"/>
      </sharedItems>
    </cacheField>
    <cacheField name="user_group" numFmtId="0">
      <sharedItems count="7">
        <s v="初审M1+"/>
        <s v="非初审-重审及其他"/>
        <s v="存量首登M0"/>
        <s v="非初审-重申"/>
        <s v="当月首登M0"/>
        <s v="其他"/>
        <s v="API回流"/>
      </sharedItems>
    </cacheField>
    <cacheField name="kq_cnt" numFmtId="0">
      <sharedItems containsSemiMixedTypes="0" containsString="0" containsNumber="1" containsInteger="1" minValue="1" maxValue="808299" count="720">
        <n v="743527"/>
        <n v="6028"/>
        <n v="804"/>
        <n v="46013"/>
        <n v="726895"/>
        <n v="2290"/>
        <n v="8502"/>
        <n v="2981"/>
        <n v="7040"/>
        <n v="8049"/>
        <n v="15250"/>
        <n v="977"/>
        <n v="128911"/>
        <n v="6535"/>
        <n v="1022"/>
        <n v="2278"/>
        <n v="1420"/>
        <n v="18641"/>
        <n v="137"/>
        <n v="152"/>
        <n v="13"/>
        <n v="108119"/>
        <n v="134"/>
        <n v="26141"/>
        <n v="15213"/>
        <n v="5613"/>
        <n v="108843"/>
        <n v="325"/>
        <n v="13449"/>
        <n v="5095"/>
        <n v="6195"/>
        <n v="5852"/>
        <n v="9781"/>
        <n v="8"/>
        <n v="264588"/>
        <n v="202104"/>
        <n v="10775"/>
        <n v="2937"/>
        <n v="6364"/>
        <n v="6052"/>
        <n v="1283"/>
        <n v="785"/>
        <n v="165305"/>
        <n v="13123"/>
        <n v="9030"/>
        <n v="8722"/>
        <n v="5722"/>
        <n v="4190"/>
        <n v="80038"/>
        <n v="3402"/>
        <n v="1012"/>
        <n v="43410"/>
        <n v="13789"/>
        <n v="9542"/>
        <n v="811"/>
        <n v="388255"/>
        <n v="306"/>
        <n v="41"/>
        <n v="4681"/>
        <n v="8636"/>
        <n v="541"/>
        <n v="166381"/>
        <n v="354"/>
        <n v="3227"/>
        <n v="578997"/>
        <n v="12"/>
        <n v="106359"/>
        <n v="32"/>
        <n v="9243"/>
        <n v="3102"/>
        <n v="916"/>
        <n v="761606"/>
        <n v="34311"/>
        <n v="16282"/>
        <n v="4191"/>
        <n v="49501"/>
        <n v="795085"/>
        <n v="654995"/>
        <n v="2529"/>
        <n v="7362"/>
        <n v="100"/>
        <n v="9699"/>
        <n v="4164"/>
        <n v="677"/>
        <n v="3"/>
        <n v="11691"/>
        <n v="6066"/>
        <n v="88"/>
        <n v="5992"/>
        <n v="391"/>
        <n v="1013"/>
        <n v="12604"/>
        <n v="26529"/>
        <n v="64149"/>
        <n v="16571"/>
        <n v="9"/>
        <n v="3172"/>
        <n v="6049"/>
        <n v="542"/>
        <n v="3418"/>
        <n v="1096"/>
        <n v="908"/>
        <n v="24927"/>
        <n v="4123"/>
        <n v="5457"/>
        <n v="9726"/>
        <n v="5484"/>
        <n v="7854"/>
        <n v="2922"/>
        <n v="21919"/>
        <n v="129526"/>
        <n v="3338"/>
        <n v="6089"/>
        <n v="2555"/>
        <n v="225980"/>
        <n v="736214"/>
        <n v="6122"/>
        <n v="776"/>
        <n v="358"/>
        <n v="256329"/>
        <n v="23369"/>
        <n v="326"/>
        <n v="3339"/>
        <n v="14490"/>
        <n v="109514"/>
        <n v="4199"/>
        <n v="9708"/>
        <n v="493"/>
        <n v="18465"/>
        <n v="2959"/>
        <n v="4218"/>
        <n v="769197"/>
        <n v="5103"/>
        <n v="16154"/>
        <n v="127"/>
        <n v="6564"/>
        <n v="4645"/>
        <n v="5106"/>
        <n v="136"/>
        <n v="8356"/>
        <n v="3354"/>
        <n v="379"/>
        <n v="122915"/>
        <n v="5584"/>
        <n v="756355"/>
        <n v="9256"/>
        <n v="109301"/>
        <n v="17334"/>
        <n v="352"/>
        <n v="9911"/>
        <n v="4985"/>
        <n v="9045"/>
        <n v="502"/>
        <n v="710153"/>
        <n v="808299"/>
        <n v="817"/>
        <n v="858"/>
        <n v="139"/>
        <n v="13294"/>
        <n v="2388"/>
        <n v="9094"/>
        <n v="229028"/>
        <n v="5756"/>
        <n v="16478"/>
        <n v="7054"/>
        <n v="167007"/>
        <n v="129855"/>
        <n v="3513"/>
        <n v="5994"/>
        <n v="2756"/>
        <n v="634112"/>
        <n v="614491"/>
        <n v="259419"/>
        <n v="630608"/>
        <n v="5483"/>
        <n v="5178"/>
        <n v="11658"/>
        <n v="8781"/>
        <n v="5990"/>
        <n v="6442"/>
        <n v="11493"/>
        <n v="49411"/>
        <n v="55957"/>
        <n v="16236"/>
        <n v="6325"/>
        <n v="329"/>
        <n v="1400"/>
        <n v="1332"/>
        <n v="22746"/>
        <n v="68703"/>
        <n v="4696"/>
        <n v="627567"/>
        <n v="125471"/>
        <n v="16"/>
        <n v="5814"/>
        <n v="5972"/>
        <n v="3176"/>
        <n v="14719"/>
        <n v="171659"/>
        <n v="171317"/>
        <n v="14612"/>
        <n v="605"/>
        <n v="662931"/>
        <n v="17622"/>
        <n v="28450"/>
        <n v="5849"/>
        <n v="61"/>
        <n v="690767"/>
        <n v="8039"/>
        <n v="850"/>
        <n v="13300"/>
        <n v="6831"/>
        <n v="394"/>
        <n v="534"/>
        <n v="167462"/>
        <n v="265212"/>
        <n v="9910"/>
        <n v="6199"/>
        <n v="104"/>
        <n v="380"/>
        <n v="803264"/>
        <n v="173"/>
        <n v="757"/>
        <n v="6164"/>
        <n v="371"/>
        <n v="700"/>
        <n v="5954"/>
        <n v="1026"/>
        <n v="237508"/>
        <n v="6046"/>
        <n v="4192"/>
        <n v="2979"/>
        <n v="21135"/>
        <n v="4745"/>
        <n v="7108"/>
        <n v="490"/>
        <n v="11513"/>
        <n v="8705"/>
        <n v="414978"/>
        <n v="759724"/>
        <n v="777"/>
        <n v="2389"/>
        <n v="1623"/>
        <n v="13399"/>
        <n v="106992"/>
        <n v="619073"/>
        <n v="11374"/>
        <n v="1734"/>
        <n v="191243"/>
        <n v="1108"/>
        <n v="42164"/>
        <n v="13031"/>
        <n v="984"/>
        <n v="265"/>
        <n v="656"/>
        <n v="5861"/>
        <n v="385"/>
        <n v="1"/>
        <n v="370"/>
        <n v="935"/>
        <n v="2956"/>
        <n v="5721"/>
        <n v="615"/>
        <n v="8887"/>
        <n v="22359"/>
        <n v="975"/>
        <n v="126531"/>
        <n v="6023"/>
        <n v="4564"/>
        <n v="7870"/>
        <n v="756"/>
        <n v="9599"/>
        <n v="402195"/>
        <n v="526"/>
        <n v="513806"/>
        <n v="8720"/>
        <n v="5882"/>
        <n v="608647"/>
        <n v="599296"/>
        <n v="571212"/>
        <n v="494836"/>
        <n v="5108"/>
        <n v="7061"/>
        <n v="3661"/>
        <n v="2391"/>
        <n v="5839"/>
        <n v="153"/>
        <n v="281532"/>
        <n v="170763"/>
        <n v="127236"/>
        <n v="2977"/>
        <n v="700148"/>
        <n v="7564"/>
        <n v="3658"/>
        <n v="1268"/>
        <n v="643277"/>
        <n v="41047"/>
        <n v="3682"/>
        <n v="9486"/>
        <n v="5736"/>
        <n v="67078"/>
        <n v="26091"/>
        <n v="5800"/>
        <n v="3641"/>
        <n v="15905"/>
        <n v="26209"/>
        <n v="3368"/>
        <n v="2961"/>
        <n v="5299"/>
        <n v="1372"/>
        <n v="999"/>
        <n v="5712"/>
        <n v="645"/>
        <n v="112"/>
        <n v="7341"/>
        <n v="9700"/>
        <n v="109607"/>
        <n v="2886"/>
        <n v="2625"/>
        <n v="725286"/>
        <n v="4172"/>
        <n v="4327"/>
        <n v="6214"/>
        <n v="2757"/>
        <n v="1301"/>
        <n v="2"/>
        <n v="22698"/>
        <n v="1152"/>
        <n v="3946"/>
        <n v="234"/>
        <n v="2682"/>
        <n v="9803"/>
        <n v="2323"/>
        <n v="15269"/>
        <n v="5206"/>
        <n v="940"/>
        <n v="46979"/>
        <n v="177"/>
        <n v="1191"/>
        <n v="726653"/>
        <n v="557696"/>
        <n v="9541"/>
        <n v="67374"/>
        <n v="5096"/>
        <n v="10932"/>
        <n v="1409"/>
        <n v="6614"/>
        <n v="5279"/>
        <n v="7153"/>
        <n v="12993"/>
        <n v="5064"/>
        <n v="281523"/>
        <n v="123625"/>
        <n v="1421"/>
        <n v="688"/>
        <n v="3689"/>
        <n v="589555"/>
        <n v="7318"/>
        <n v="4193"/>
        <n v="13880"/>
        <n v="750167"/>
        <n v="268059"/>
        <n v="108498"/>
        <n v="109101"/>
        <n v="27949"/>
        <n v="700106"/>
        <n v="169218"/>
        <n v="226162"/>
        <n v="4200"/>
        <n v="3482"/>
        <n v="61980"/>
        <n v="42306"/>
        <n v="17371"/>
        <n v="2719"/>
        <n v="5076"/>
        <n v="273801"/>
        <n v="920"/>
        <n v="670465"/>
        <n v="16822"/>
        <n v="8194"/>
        <n v="469"/>
        <n v="79072"/>
        <n v="16247"/>
        <n v="4215"/>
        <n v="78054"/>
        <n v="109593"/>
        <n v="735528"/>
        <n v="3565"/>
        <n v="26755"/>
        <n v="6107"/>
        <n v="128117"/>
        <n v="107357"/>
        <n v="5872"/>
        <n v="237059"/>
        <n v="388"/>
        <n v="551"/>
        <n v="711971"/>
        <n v="4184"/>
        <n v="8870"/>
        <n v="183474"/>
        <n v="4867"/>
        <n v="5421"/>
        <n v="5350"/>
        <n v="3379"/>
        <n v="4574"/>
        <n v="5062"/>
        <n v="373598"/>
        <n v="129734"/>
        <n v="19380"/>
        <n v="5491"/>
        <n v="2840"/>
        <n v="718131"/>
        <n v="8912"/>
        <n v="26"/>
        <n v="5677"/>
        <n v="3038"/>
        <n v="7287"/>
        <n v="3135"/>
        <n v="254868"/>
        <n v="6901"/>
        <n v="2072"/>
        <n v="773"/>
        <n v="8883"/>
        <n v="80539"/>
        <n v="2159"/>
        <n v="3662"/>
        <n v="107765"/>
        <n v="170027"/>
        <n v="558"/>
        <n v="123"/>
        <n v="248224"/>
        <n v="3615"/>
        <n v="11"/>
        <n v="35"/>
        <n v="82"/>
        <n v="987"/>
        <n v="452706"/>
        <n v="6954"/>
        <n v="216"/>
        <n v="39886"/>
        <n v="12048"/>
        <n v="133"/>
        <n v="109563"/>
        <n v="26360"/>
        <n v="24113"/>
        <n v="4082"/>
        <n v="2381"/>
        <n v="16029"/>
        <n v="9732"/>
        <n v="959"/>
        <n v="120"/>
        <n v="785832"/>
        <n v="709339"/>
        <n v="124255"/>
        <n v="23719"/>
        <n v="9928"/>
        <n v="6617"/>
        <n v="1141"/>
        <n v="5231"/>
        <n v="5100"/>
        <n v="431"/>
        <n v="1808"/>
        <n v="2607"/>
        <n v="1117"/>
        <n v="731124"/>
        <n v="13309"/>
        <n v="122"/>
        <n v="28652"/>
        <n v="9869"/>
        <n v="9887"/>
        <n v="111"/>
        <n v="234469"/>
        <n v="31701"/>
        <n v="12162"/>
        <n v="7537"/>
        <n v="27630"/>
        <n v="18907"/>
        <n v="1387"/>
        <n v="36603"/>
        <n v="7466"/>
        <n v="25486"/>
        <n v="22767"/>
        <n v="9805"/>
        <n v="3410"/>
        <n v="10494"/>
        <n v="2217"/>
        <n v="2368"/>
        <n v="16565"/>
        <n v="5082"/>
        <n v="2223"/>
        <n v="2258"/>
        <n v="268"/>
        <n v="228"/>
        <n v="1024"/>
        <n v="1318"/>
        <n v="15903"/>
        <n v="5778"/>
        <n v="89"/>
        <n v="66"/>
        <n v="718259"/>
        <n v="5857"/>
        <n v="11373"/>
        <n v="4114"/>
        <n v="6"/>
        <n v="12290"/>
        <n v="8773"/>
        <n v="1405"/>
        <n v="4169"/>
        <n v="5301"/>
        <n v="122115"/>
        <n v="15075"/>
        <n v="23718"/>
        <n v="7505"/>
        <n v="7133"/>
        <n v="35332"/>
        <n v="2968"/>
        <n v="3663"/>
        <n v="5908"/>
        <n v="9417"/>
        <n v="7439"/>
        <n v="15506"/>
        <n v="3295"/>
        <n v="550"/>
        <n v="21132"/>
        <n v="12819"/>
        <n v="266660"/>
        <n v="281872"/>
        <n v="6101"/>
        <n v="8082"/>
        <n v="696279"/>
        <n v="241167"/>
        <n v="427"/>
        <n v="23390"/>
        <n v="2889"/>
        <n v="4096"/>
        <n v="282127"/>
        <n v="41049"/>
        <n v="6684"/>
        <n v="2911"/>
        <n v="4272"/>
        <n v="109611"/>
        <n v="5065"/>
        <n v="5498"/>
        <n v="339"/>
        <n v="745277"/>
        <n v="532994"/>
        <n v="679772"/>
        <n v="166742"/>
        <n v="109610"/>
        <n v="13426"/>
        <n v="172401"/>
        <n v="6036"/>
        <n v="2687"/>
        <n v="1071"/>
        <n v="314"/>
        <n v="172076"/>
        <n v="2975"/>
        <n v="1873"/>
        <n v="49313"/>
        <n v="476690"/>
        <n v="777049"/>
        <n v="11564"/>
        <n v="5542"/>
        <n v="4343"/>
        <n v="245072"/>
        <n v="44449"/>
        <n v="9600"/>
        <n v="22645"/>
        <n v="7021"/>
        <n v="6621"/>
        <n v="13351"/>
        <n v="12944"/>
        <n v="2018"/>
        <n v="129953"/>
        <n v="11196"/>
        <n v="5642"/>
        <n v="5098"/>
        <n v="647"/>
        <n v="11968"/>
        <n v="5074"/>
        <n v="3995"/>
        <n v="364"/>
        <n v="27369"/>
        <n v="8972"/>
        <n v="172558"/>
        <n v="124851"/>
        <n v="9015"/>
        <n v="2862"/>
        <n v="252172"/>
        <n v="966"/>
        <n v="688269"/>
        <n v="13020"/>
        <n v="49964"/>
        <n v="3790"/>
        <n v="7807"/>
        <n v="231703"/>
        <n v="5591"/>
        <n v="4609"/>
        <n v="4185"/>
        <n v="9953"/>
        <n v="635"/>
        <n v="4187"/>
        <n v="117"/>
        <n v="1319"/>
        <n v="10"/>
        <n v="543761"/>
        <n v="1014"/>
        <n v="16547"/>
        <n v="4092"/>
        <n v="375"/>
        <n v="3889"/>
        <n v="244963"/>
        <n v="2443"/>
        <n v="262517"/>
        <n v="9555"/>
        <n v="8247"/>
        <n v="3374"/>
        <n v="752018"/>
        <n v="645992"/>
        <n v="4196"/>
        <n v="431344"/>
        <n v="168212"/>
        <n v="1614"/>
        <n v="5135"/>
        <n v="5060"/>
        <n v="1457"/>
        <n v="4460"/>
        <n v="13175"/>
        <n v="8425"/>
        <n v="1359"/>
        <n v="5754"/>
        <n v="12357"/>
        <n v="50974"/>
        <n v="13979"/>
        <n v="7661"/>
        <n v="1236"/>
        <n v="87"/>
        <n v="11214"/>
        <n v="19351"/>
        <n v="279934"/>
        <n v="6723"/>
        <n v="3325"/>
        <n v="5055"/>
        <n v="15447"/>
        <n v="171"/>
        <n v="142"/>
        <n v="212555"/>
        <n v="2965"/>
        <n v="298"/>
        <n v="9085"/>
        <n v="701"/>
        <n v="5147"/>
        <n v="1407"/>
        <n v="560"/>
        <n v="101"/>
        <n v="5934"/>
        <n v="9134"/>
        <n v="2166"/>
        <n v="6568"/>
        <n v="1149"/>
        <n v="1061"/>
        <n v="78758"/>
        <n v="664672"/>
        <n v="12525"/>
        <n v="1039"/>
        <n v="8156"/>
        <n v="6215"/>
        <n v="308"/>
        <n v="30904"/>
        <n v="7763"/>
        <n v="2623"/>
        <n v="74580"/>
        <n v="147"/>
        <n v="903"/>
        <n v="681016"/>
        <n v="126061"/>
        <n v="582625"/>
        <n v="70226"/>
        <n v="9100"/>
        <n v="942"/>
        <n v="6600"/>
        <n v="3664"/>
        <n v="2813"/>
        <n v="9004"/>
        <n v="26242"/>
        <n v="5036"/>
        <n v="1018"/>
        <n v="998"/>
        <n v="2406"/>
        <n v="71"/>
        <n v="6641"/>
        <n v="996"/>
        <n v="1917"/>
        <n v="16471"/>
        <n v="312"/>
        <n v="5085"/>
        <n v="1073"/>
        <n v="3680"/>
        <n v="5791"/>
        <n v="9695"/>
        <n v="6094"/>
        <n v="7492"/>
        <n v="1300"/>
        <n v="539"/>
        <n v="45"/>
        <n v="165922"/>
        <n v="14949"/>
        <n v="2405"/>
        <n v="974"/>
        <n v="67"/>
        <n v="338"/>
        <n v="2895"/>
        <n v="5441"/>
        <n v="2958"/>
        <n v="19439"/>
        <n v="16699"/>
        <n v="5134"/>
        <n v="1020"/>
        <n v="218"/>
        <n v="7599"/>
      </sharedItems>
    </cacheField>
    <cacheField name="fq_cnt" numFmtId="0">
      <sharedItems containsSemiMixedTypes="0" containsString="0" containsNumber="1" containsInteger="1" minValue="0" maxValue="16713" count="553">
        <n v="2600"/>
        <n v="135"/>
        <n v="385"/>
        <n v="8111"/>
        <n v="5199"/>
        <n v="52"/>
        <n v="752"/>
        <n v="181"/>
        <n v="4052"/>
        <n v="1792"/>
        <n v="9069"/>
        <n v="576"/>
        <n v="414"/>
        <n v="3355"/>
        <n v="5"/>
        <n v="323"/>
        <n v="23"/>
        <n v="7288"/>
        <n v="59"/>
        <n v="102"/>
        <n v="7"/>
        <n v="210"/>
        <n v="45"/>
        <n v="71"/>
        <n v="3000"/>
        <n v="53"/>
        <n v="152"/>
        <n v="10"/>
        <n v="1331"/>
        <n v="31"/>
        <n v="12"/>
        <n v="41"/>
        <n v="121"/>
        <n v="3"/>
        <n v="844"/>
        <n v="14635"/>
        <n v="1317"/>
        <n v="47"/>
        <n v="3382"/>
        <n v="145"/>
        <n v="46"/>
        <n v="989"/>
        <n v="332"/>
        <n v="285"/>
        <n v="1446"/>
        <n v="26"/>
        <n v="3244"/>
        <n v="93"/>
        <n v="0"/>
        <n v="3254"/>
        <n v="7634"/>
        <n v="3937"/>
        <n v="478"/>
        <n v="2603"/>
        <n v="110"/>
        <n v="25"/>
        <n v="467"/>
        <n v="4048"/>
        <n v="313"/>
        <n v="710"/>
        <n v="156"/>
        <n v="98"/>
        <n v="5141"/>
        <n v="267"/>
        <n v="9"/>
        <n v="981"/>
        <n v="337"/>
        <n v="16"/>
        <n v="184"/>
        <n v="16713"/>
        <n v="7102"/>
        <n v="39"/>
        <n v="1796"/>
        <n v="2797"/>
        <n v="3838"/>
        <n v="356"/>
        <n v="403"/>
        <n v="44"/>
        <n v="2"/>
        <n v="48"/>
        <n v="423"/>
        <n v="646"/>
        <n v="109"/>
        <n v="2821"/>
        <n v="17"/>
        <n v="473"/>
        <n v="822"/>
        <n v="9734"/>
        <n v="7201"/>
        <n v="192"/>
        <n v="3008"/>
        <n v="258"/>
        <n v="112"/>
        <n v="635"/>
        <n v="560"/>
        <n v="2084"/>
        <n v="1885"/>
        <n v="2259"/>
        <n v="172"/>
        <n v="2820"/>
        <n v="4620"/>
        <n v="200"/>
        <n v="3198"/>
        <n v="329"/>
        <n v="254"/>
        <n v="3167"/>
        <n v="1987"/>
        <n v="4480"/>
        <n v="1277"/>
        <n v="446"/>
        <n v="1335"/>
        <n v="2060"/>
        <n v="161"/>
        <n v="7804"/>
        <n v="116"/>
        <n v="826"/>
        <n v="33"/>
        <n v="257"/>
        <n v="9133"/>
        <n v="1202"/>
        <n v="3696"/>
        <n v="9103"/>
        <n v="62"/>
        <n v="3204"/>
        <n v="2164"/>
        <n v="40"/>
        <n v="6"/>
        <n v="597"/>
        <n v="154"/>
        <n v="681"/>
        <n v="173"/>
        <n v="1438"/>
        <n v="233"/>
        <n v="115"/>
        <n v="6429"/>
        <n v="14"/>
        <n v="61"/>
        <n v="2498"/>
        <n v="4570"/>
        <n v="226"/>
        <n v="2418"/>
        <n v="228"/>
        <n v="481"/>
        <n v="407"/>
        <n v="13"/>
        <n v="1"/>
        <n v="3732"/>
        <n v="1373"/>
        <n v="2359"/>
        <n v="9375"/>
        <n v="1076"/>
        <n v="706"/>
        <n v="146"/>
        <n v="503"/>
        <n v="142"/>
        <n v="4265"/>
        <n v="4275"/>
        <n v="1113"/>
        <n v="4755"/>
        <n v="2257"/>
        <n v="1553"/>
        <n v="5214"/>
        <n v="54"/>
        <n v="2951"/>
        <n v="4828"/>
        <n v="2448"/>
        <n v="12577"/>
        <n v="3934"/>
        <n v="166"/>
        <n v="29"/>
        <n v="37"/>
        <n v="9323"/>
        <n v="6305"/>
        <n v="760"/>
        <n v="3928"/>
        <n v="600"/>
        <n v="8"/>
        <n v="770"/>
        <n v="3104"/>
        <n v="1409"/>
        <n v="7127"/>
        <n v="298"/>
        <n v="6142"/>
        <n v="272"/>
        <n v="4519"/>
        <n v="8719"/>
        <n v="5213"/>
        <n v="165"/>
        <n v="27"/>
        <n v="638"/>
        <n v="487"/>
        <n v="328"/>
        <n v="3577"/>
        <n v="177"/>
        <n v="229"/>
        <n v="682"/>
        <n v="13140"/>
        <n v="2704"/>
        <n v="1897"/>
        <n v="85"/>
        <n v="518"/>
        <n v="19"/>
        <n v="341"/>
        <n v="489"/>
        <n v="1708"/>
        <n v="38"/>
        <n v="24"/>
        <n v="9361"/>
        <n v="2350"/>
        <n v="613"/>
        <n v="160"/>
        <n v="835"/>
        <n v="263"/>
        <n v="3175"/>
        <n v="3589"/>
        <n v="351"/>
        <n v="56"/>
        <n v="932"/>
        <n v="176"/>
        <n v="3602"/>
        <n v="4220"/>
        <n v="185"/>
        <n v="12489"/>
        <n v="672"/>
        <n v="3170"/>
        <n v="1798"/>
        <n v="484"/>
        <n v="304"/>
        <n v="139"/>
        <n v="300"/>
        <n v="183"/>
        <n v="4"/>
        <n v="312"/>
        <n v="279"/>
        <n v="9677"/>
        <n v="550"/>
        <n v="496"/>
        <n v="2915"/>
        <n v="696"/>
        <n v="662"/>
        <n v="394"/>
        <n v="1519"/>
        <n v="2715"/>
        <n v="308"/>
        <n v="3486"/>
        <n v="4918"/>
        <n v="2875"/>
        <n v="5615"/>
        <n v="4027"/>
        <n v="2464"/>
        <n v="3328"/>
        <n v="1844"/>
        <n v="86"/>
        <n v="2888"/>
        <n v="76"/>
        <n v="963"/>
        <n v="453"/>
        <n v="652"/>
        <n v="2867"/>
        <n v="867"/>
        <n v="60"/>
        <n v="43"/>
        <n v="4241"/>
        <n v="5293"/>
        <n v="36"/>
        <n v="795"/>
        <n v="3585"/>
        <n v="6569"/>
        <n v="2814"/>
        <n v="70"/>
        <n v="6110"/>
        <n v="11125"/>
        <n v="2905"/>
        <n v="49"/>
        <n v="967"/>
        <n v="259"/>
        <n v="66"/>
        <n v="3713"/>
        <n v="30"/>
        <n v="702"/>
        <n v="51"/>
        <n v="2032"/>
        <n v="721"/>
        <n v="1927"/>
        <n v="709"/>
        <n v="169"/>
        <n v="7653"/>
        <n v="2275"/>
        <n v="420"/>
        <n v="3820"/>
        <n v="1343"/>
        <n v="2629"/>
        <n v="1103"/>
        <n v="9180"/>
        <n v="2490"/>
        <n v="820"/>
        <n v="2908"/>
        <n v="624"/>
        <n v="3706"/>
        <n v="6288"/>
        <n v="2587"/>
        <n v="759"/>
        <n v="315"/>
        <n v="197"/>
        <n v="3631"/>
        <n v="1266"/>
        <n v="2355"/>
        <n v="63"/>
        <n v="224"/>
        <n v="155"/>
        <n v="11260"/>
        <n v="4569"/>
        <n v="16570"/>
        <n v="97"/>
        <n v="11809"/>
        <n v="4612"/>
        <n v="9872"/>
        <n v="13728"/>
        <n v="441"/>
        <n v="3045"/>
        <n v="2761"/>
        <n v="2194"/>
        <n v="231"/>
        <n v="4330"/>
        <n v="993"/>
        <n v="2225"/>
        <n v="4718"/>
        <n v="3255"/>
        <n v="2443"/>
        <n v="419"/>
        <n v="235"/>
        <n v="2728"/>
        <n v="15730"/>
        <n v="164"/>
        <n v="4069"/>
        <n v="1772"/>
        <n v="16063"/>
        <n v="475"/>
        <n v="133"/>
        <n v="521"/>
        <n v="3451"/>
        <n v="283"/>
        <n v="10812"/>
        <n v="179"/>
        <n v="5278"/>
        <n v="28"/>
        <n v="284"/>
        <n v="959"/>
        <n v="1785"/>
        <n v="12522"/>
        <n v="3342"/>
        <n v="456"/>
        <n v="4977"/>
        <n v="8823"/>
        <n v="247"/>
        <n v="306"/>
        <n v="1362"/>
        <n v="89"/>
        <n v="466"/>
        <n v="3301"/>
        <n v="433"/>
        <n v="113"/>
        <n v="6328"/>
        <n v="2308"/>
        <n v="87"/>
        <n v="11828"/>
        <n v="15221"/>
        <n v="1154"/>
        <n v="607"/>
        <n v="67"/>
        <n v="2833"/>
        <n v="5076"/>
        <n v="784"/>
        <n v="1867"/>
        <n v="213"/>
        <n v="3379"/>
        <n v="2645"/>
        <n v="32"/>
        <n v="147"/>
        <n v="220"/>
        <n v="593"/>
        <n v="12485"/>
        <n v="4886"/>
        <n v="608"/>
        <n v="1761"/>
        <n v="5179"/>
        <n v="6880"/>
        <n v="3835"/>
        <n v="11355"/>
        <n v="6900"/>
        <n v="6656"/>
        <n v="3391"/>
        <n v="11416"/>
        <n v="2928"/>
        <n v="4060"/>
        <n v="253"/>
        <n v="6095"/>
        <n v="78"/>
        <n v="58"/>
        <n v="824"/>
        <n v="2313"/>
        <n v="556"/>
        <n v="73"/>
        <n v="119"/>
        <n v="454"/>
        <n v="564"/>
        <n v="8771"/>
        <n v="380"/>
        <n v="2150"/>
        <n v="2994"/>
        <n v="463"/>
        <n v="660"/>
        <n v="2145"/>
        <n v="130"/>
        <n v="1028"/>
        <n v="8498"/>
        <n v="9230"/>
        <n v="3347"/>
        <n v="4278"/>
        <n v="14137"/>
        <n v="149"/>
        <n v="208"/>
        <n v="4365"/>
        <n v="7545"/>
        <n v="603"/>
        <n v="3615"/>
        <n v="404"/>
        <n v="506"/>
        <n v="6034"/>
        <n v="4472"/>
        <n v="4384"/>
        <n v="1593"/>
        <n v="9449"/>
        <n v="274"/>
        <n v="3526"/>
        <n v="7862"/>
        <n v="3293"/>
        <n v="950"/>
        <n v="2712"/>
        <n v="3859"/>
        <n v="3275"/>
        <n v="3165"/>
        <n v="778"/>
        <n v="647"/>
        <n v="35"/>
        <n v="1276"/>
        <n v="3033"/>
        <n v="3472"/>
        <n v="55"/>
        <n v="2244"/>
        <n v="12886"/>
        <n v="3194"/>
        <n v="8281"/>
        <n v="439"/>
        <n v="3534"/>
        <n v="296"/>
        <n v="843"/>
        <n v="339"/>
        <n v="309"/>
        <n v="193"/>
        <n v="11294"/>
        <n v="544"/>
        <n v="756"/>
        <n v="443"/>
        <n v="1344"/>
        <n v="601"/>
        <n v="5938"/>
        <n v="1290"/>
        <n v="1422"/>
        <n v="753"/>
        <n v="1577"/>
        <n v="2724"/>
        <n v="942"/>
        <n v="974"/>
        <n v="331"/>
        <n v="874"/>
        <n v="2779"/>
        <n v="9948"/>
        <n v="22"/>
        <n v="1875"/>
        <n v="1412"/>
        <n v="426"/>
        <n v="940"/>
        <n v="206"/>
        <n v="4893"/>
        <n v="211"/>
        <n v="3881"/>
        <n v="4809"/>
        <n v="3202"/>
        <n v="547"/>
        <n v="270"/>
        <n v="966"/>
        <n v="854"/>
        <n v="2132"/>
        <n v="292"/>
        <n v="230"/>
        <n v="2758"/>
        <n v="5114"/>
        <n v="4899"/>
        <n v="6530"/>
        <n v="625"/>
        <n v="50"/>
        <n v="834"/>
        <n v="7676"/>
        <n v="11153"/>
        <n v="1214"/>
        <n v="8703"/>
        <n v="69"/>
        <n v="14705"/>
        <n v="108"/>
        <n v="251"/>
        <n v="354"/>
        <n v="2933"/>
        <n v="1558"/>
        <n v="1158"/>
        <n v="595"/>
        <n v="623"/>
        <n v="3047"/>
        <n v="2053"/>
        <n v="579"/>
        <n v="276"/>
        <n v="3110"/>
        <n v="12122"/>
        <n v="1397"/>
        <n v="7309"/>
        <n v="80"/>
        <n v="4137"/>
        <n v="1569"/>
        <n v="5921"/>
        <n v="723"/>
        <n v="468"/>
        <n v="3227"/>
        <n v="11"/>
        <n v="5098"/>
        <n v="1109"/>
        <n v="876"/>
        <n v="2936"/>
        <n v="558"/>
        <n v="9923"/>
        <n v="628"/>
        <n v="42"/>
        <n v="198"/>
        <n v="77"/>
        <n v="5029"/>
        <n v="821"/>
        <n v="668"/>
        <n v="1630"/>
        <n v="566"/>
        <n v="1520"/>
        <n v="2463"/>
        <n v="1475"/>
        <n v="2214"/>
        <n v="642"/>
      </sharedItems>
    </cacheField>
    <cacheField name="tg_cnt" numFmtId="0">
      <sharedItems containsNumber="1" containsInteger="1" containsMixedTypes="1" count="518">
        <n v="1685"/>
        <n v="83"/>
        <n v="343"/>
        <n v="6492"/>
        <n v="2207"/>
        <n v="20"/>
        <n v="581"/>
        <n v="130"/>
        <n v="3764"/>
        <n v="1457"/>
        <n v="8369"/>
        <n v="507"/>
        <n v="184"/>
        <n v="3141"/>
        <n v="4"/>
        <n v="251"/>
        <n v="14"/>
        <n v="7037"/>
        <n v="50"/>
        <n v="99"/>
        <n v="7"/>
        <n v="76"/>
        <n v="35"/>
        <n v="31"/>
        <n v="2460"/>
        <n v="10"/>
        <n v="90"/>
        <n v="1030"/>
        <n v="3"/>
        <n v="23"/>
        <n v="77"/>
        <n v="1"/>
        <n v="508"/>
        <n v="5797"/>
        <n v="1009"/>
        <n v="29"/>
        <n v="3137"/>
        <n v="80"/>
        <n v="292"/>
        <n v="212"/>
        <n v="151"/>
        <n v="1186"/>
        <n v="17"/>
        <n v="9"/>
        <n v="1616"/>
        <n v="45"/>
        <s v="\N"/>
        <n v="2529"/>
        <n v="7188"/>
        <n v="3746"/>
        <n v="409"/>
        <n v="1530"/>
        <n v="107"/>
        <n v="24"/>
        <n v="368"/>
        <n v="3693"/>
        <n v="280"/>
        <n v="138"/>
        <n v="39"/>
        <n v="2626"/>
        <n v="6"/>
        <n v="100"/>
        <n v="832"/>
        <n v="139"/>
        <n v="15572"/>
        <n v="6864"/>
        <n v="30"/>
        <n v="1211"/>
        <n v="1597"/>
        <n v="2072"/>
        <n v="279"/>
        <n v="56"/>
        <n v="40"/>
        <n v="363"/>
        <n v="366"/>
        <n v="63"/>
        <n v="27"/>
        <n v="2555"/>
        <n v="11"/>
        <n v="231"/>
        <n v="473"/>
        <n v="7748"/>
        <n v="6905"/>
        <n v="2"/>
        <n v="143"/>
        <n v="2646"/>
        <n v="217"/>
        <n v="68"/>
        <n v="577"/>
        <n v="514"/>
        <n v="1584"/>
        <n v="1794"/>
        <n v="2138"/>
        <n v="88"/>
        <n v="2584"/>
        <n v="4281"/>
        <n v="134"/>
        <n v="2628"/>
        <n v="163"/>
        <n v="193"/>
        <n v="2651"/>
        <n v="237"/>
        <n v="614"/>
        <n v="2140"/>
        <n v="945"/>
        <n v="405"/>
        <n v="787"/>
        <n v="1650"/>
        <n v="157"/>
        <n v="12"/>
        <n v="7187"/>
        <n v="58"/>
        <n v="721"/>
        <n v="8836"/>
        <n v="1018"/>
        <n v="1991"/>
        <n v="8200"/>
        <n v="49"/>
        <n v="3008"/>
        <n v="1971"/>
        <n v="15"/>
        <n v="0"/>
        <n v="160"/>
        <n v="112"/>
        <n v="253"/>
        <n v="859"/>
        <n v="111"/>
        <n v="48"/>
        <n v="6120"/>
        <n v="2298"/>
        <n v="4454"/>
        <n v="211"/>
        <n v="1437"/>
        <n v="161"/>
        <n v="425"/>
        <n v="355"/>
        <n v="3576"/>
        <n v="488"/>
        <n v="2311"/>
        <n v="8872"/>
        <n v="888"/>
        <n v="291"/>
        <n v="60"/>
        <n v="431"/>
        <n v="92"/>
        <n v="203"/>
        <n v="1990"/>
        <n v="2303"/>
        <n v="624"/>
        <n v="2668"/>
        <n v="13"/>
        <n v="2116"/>
        <n v="1283"/>
        <n v="4839"/>
        <n v="2823"/>
        <n v="4657"/>
        <n v="1804"/>
        <n v="10413"/>
        <n v="33"/>
        <n v="3386"/>
        <n v="154"/>
        <n v="18"/>
        <n v="8662"/>
        <n v="4759"/>
        <n v="586"/>
        <n v="1915"/>
        <n v="252"/>
        <n v="8"/>
        <n v="643"/>
        <n v="2783"/>
        <n v="1374"/>
        <n v="6935"/>
        <n v="144"/>
        <n v="202"/>
        <n v="5942"/>
        <n v="240"/>
        <n v="2767"/>
        <n v="44"/>
        <n v="8248"/>
        <n v="4219"/>
        <n v="103"/>
        <n v="1900"/>
        <n v="465"/>
        <n v="428"/>
        <n v="162"/>
        <n v="3212"/>
        <n v="170"/>
        <n v="314"/>
        <n v="3796"/>
        <n v="2573"/>
        <n v="1074"/>
        <n v="150"/>
        <n v="717"/>
        <n v="8773"/>
        <n v="2104"/>
        <n v="548"/>
        <n v="1718"/>
        <n v="2019"/>
        <n v="316"/>
        <n v="26"/>
        <n v="803"/>
        <n v="93"/>
        <n v="1725"/>
        <n v="4124"/>
        <n v="133"/>
        <n v="4588"/>
        <n v="564"/>
        <n v="2424"/>
        <n v="1475"/>
        <n v="463"/>
        <n v="286"/>
        <n v="168"/>
        <n v="171"/>
        <n v="393"/>
        <n v="267"/>
        <n v="128"/>
        <n v="9299"/>
        <n v="487"/>
        <n v="283"/>
        <n v="2675"/>
        <n v="602"/>
        <n v="525"/>
        <n v="372"/>
        <n v="1220"/>
        <n v="1547"/>
        <n v="2565"/>
        <n v="4373"/>
        <n v="2571"/>
        <n v="2776"/>
        <n v="2278"/>
        <n v="1675"/>
        <n v="2471"/>
        <n v="16"/>
        <n v="1461"/>
        <n v="2655"/>
        <n v="258"/>
        <n v="235"/>
        <n v="538"/>
        <n v="1693"/>
        <n v="706"/>
        <n v="2017"/>
        <n v="4239"/>
        <n v="3024"/>
        <n v="4962"/>
        <n v="1056"/>
        <n v="43"/>
        <n v="5918"/>
        <n v="10595"/>
        <n v="5"/>
        <n v="2519"/>
        <n v="287"/>
        <n v="41"/>
        <n v="744"/>
        <n v="186"/>
        <n v="2531"/>
        <n v="21"/>
        <n v="593"/>
        <n v="1581"/>
        <n v="648"/>
        <n v="1831"/>
        <n v="583"/>
        <n v="25"/>
        <n v="7472"/>
        <n v="2160"/>
        <n v="387"/>
        <n v="2906"/>
        <n v="51"/>
        <n v="801"/>
        <n v="1762"/>
        <n v="841"/>
        <n v="7459"/>
        <n v="2111"/>
        <n v="2751"/>
        <n v="478"/>
        <n v="3459"/>
        <n v="6054"/>
        <n v="2286"/>
        <n v="278"/>
        <n v="269"/>
        <n v="1040"/>
        <n v="155"/>
        <n v="3316"/>
        <n v="894"/>
        <n v="1498"/>
        <n v="37"/>
        <n v="86"/>
        <n v="85"/>
        <n v="10944"/>
        <n v="1978"/>
        <n v="333"/>
        <n v="6706"/>
        <n v="9749"/>
        <n v="3795"/>
        <n v="9221"/>
        <n v="183"/>
        <n v="3189"/>
        <n v="1916"/>
        <n v="2341"/>
        <n v="1759"/>
        <n v="216"/>
        <n v="2833"/>
        <n v="644"/>
        <n v="3519"/>
        <n v="32"/>
        <n v="2197"/>
        <n v="2100"/>
        <n v="204"/>
        <n v="87"/>
        <n v="2481"/>
        <n v="6464"/>
        <n v="156"/>
        <n v="2839"/>
        <n v="1440"/>
        <n v="5821"/>
        <n v="153"/>
        <n v="10481"/>
        <n v="2320"/>
        <n v="876"/>
        <n v="750"/>
        <n v="1717"/>
        <n v="5088"/>
        <n v="3110"/>
        <n v="28"/>
        <n v="400"/>
        <n v="4558"/>
        <n v="7268"/>
        <n v="98"/>
        <n v="297"/>
        <n v="825"/>
        <n v="438"/>
        <n v="2170"/>
        <n v="5297"/>
        <n v="1920"/>
        <n v="46"/>
        <n v="11336"/>
        <n v="13396"/>
        <n v="889"/>
        <n v="82"/>
        <n v="57"/>
        <n v="1629"/>
        <n v="2313"/>
        <n v="284"/>
        <n v="1311"/>
        <n v="42"/>
        <n v="3176"/>
        <n v="2390"/>
        <n v="145"/>
        <n v="250"/>
        <n v="166"/>
        <n v="533"/>
        <n v="11989"/>
        <n v="4733"/>
        <n v="517"/>
        <n v="739"/>
        <n v="4312"/>
        <n v="6426"/>
        <n v="3614"/>
        <n v="11040"/>
        <n v="6592"/>
        <n v="5650"/>
        <n v="3205"/>
        <n v="10945"/>
        <n v="2445"/>
        <n v="3963"/>
        <n v="5817"/>
        <n v="36"/>
        <n v="404"/>
        <n v="2101"/>
        <n v="439"/>
        <n v="113"/>
        <n v="106"/>
        <n v="542"/>
        <n v="8146"/>
        <n v="34"/>
        <n v="1259"/>
        <n v="2644"/>
        <n v="196"/>
        <n v="2023"/>
        <n v="66"/>
        <n v="327"/>
        <n v="7514"/>
        <n v="8654"/>
        <n v="3185"/>
        <n v="3813"/>
        <n v="13749"/>
        <n v="22"/>
        <n v="91"/>
        <n v="3896"/>
        <n v="7229"/>
        <n v="509"/>
        <n v="255"/>
        <n v="3045"/>
        <n v="108"/>
        <n v="1189"/>
        <n v="61"/>
        <n v="4069"/>
        <n v="3169"/>
        <n v="752"/>
        <n v="200"/>
        <n v="8888"/>
        <n v="198"/>
        <n v="610"/>
        <n v="6122"/>
        <n v="2959"/>
        <n v="756"/>
        <n v="2507"/>
        <n v="73"/>
        <n v="2255"/>
        <n v="2279"/>
        <n v="1989"/>
        <n v="315"/>
        <n v="142"/>
        <n v="584"/>
        <n v="177"/>
        <n v="1137"/>
        <n v="2214"/>
        <n v="1807"/>
        <n v="218"/>
        <n v="5330"/>
        <n v="2220"/>
        <n v="7992"/>
        <n v="413"/>
        <n v="3254"/>
        <n v="136"/>
        <n v="158"/>
        <n v="172"/>
        <n v="702"/>
        <n v="288"/>
        <n v="228"/>
        <n v="124"/>
        <n v="178"/>
        <n v="10711"/>
        <n v="420"/>
        <n v="277"/>
        <n v="306"/>
        <n v="19"/>
        <n v="781"/>
        <n v="555"/>
        <n v="2433"/>
        <n v="1007"/>
        <n v="789"/>
        <n v="666"/>
        <n v="3245"/>
        <n v="626"/>
        <n v="2458"/>
        <n v="774"/>
        <n v="664"/>
        <n v="773"/>
        <n v="1934"/>
        <n v="8723"/>
        <n v="1829"/>
        <n v="838"/>
        <n v="359"/>
        <n v="576"/>
        <n v="4412"/>
        <n v="2619"/>
        <n v="1812"/>
        <n v="201"/>
        <n v="762"/>
        <n v="191"/>
        <n v="778"/>
        <n v="2003"/>
        <n v="126"/>
        <n v="2495"/>
        <n v="4915"/>
        <n v="4141"/>
        <n v="6340"/>
        <n v="176"/>
        <n v="613"/>
        <n v="7400"/>
        <n v="2428"/>
        <n v="951"/>
        <n v="7799"/>
        <n v="64"/>
        <n v="5578"/>
        <n v="95"/>
        <n v="304"/>
        <n v="226"/>
        <n v="52"/>
        <n v="2678"/>
        <n v="1188"/>
        <n v="988"/>
        <n v="495"/>
        <n v="551"/>
        <n v="1874"/>
        <n v="1623"/>
        <n v="129"/>
        <n v="2730"/>
        <n v="152"/>
        <n v="11730"/>
        <n v="1083"/>
        <n v="5541"/>
        <n v="67"/>
        <n v="367"/>
        <n v="2885"/>
        <n v="1005"/>
        <n v="4081"/>
        <n v="147"/>
        <n v="441"/>
        <n v="2846"/>
        <n v="4809"/>
        <n v="722"/>
        <n v="707"/>
        <n v="532"/>
        <n v="2777"/>
        <n v="8601"/>
        <n v="545"/>
        <n v="104"/>
        <n v="47"/>
        <n v="4318"/>
        <n v="708"/>
        <n v="274"/>
        <n v="116"/>
        <n v="1269"/>
        <n v="1472"/>
        <n v="2391"/>
        <n v="1439"/>
        <n v="486"/>
      </sharedItems>
    </cacheField>
    <cacheField name="dz_cnt" numFmtId="0">
      <sharedItems containsSemiMixedTypes="0" containsString="0" containsNumber="1" containsInteger="1" minValue="0" maxValue="15381" count="516">
        <n v="1654"/>
        <n v="83"/>
        <n v="339"/>
        <n v="6429"/>
        <n v="2200"/>
        <n v="19"/>
        <n v="571"/>
        <n v="130"/>
        <n v="3705"/>
        <n v="1435"/>
        <n v="8224"/>
        <n v="501"/>
        <n v="183"/>
        <n v="3111"/>
        <n v="4"/>
        <n v="243"/>
        <n v="13"/>
        <n v="6993"/>
        <n v="48"/>
        <n v="99"/>
        <n v="7"/>
        <n v="74"/>
        <n v="33"/>
        <n v="32"/>
        <n v="2459"/>
        <n v="10"/>
        <n v="91"/>
        <n v="1015"/>
        <n v="20"/>
        <n v="3"/>
        <n v="22"/>
        <n v="73"/>
        <n v="1"/>
        <n v="505"/>
        <n v="5779"/>
        <n v="993"/>
        <n v="29"/>
        <n v="3124"/>
        <n v="79"/>
        <n v="290"/>
        <n v="348"/>
        <n v="211"/>
        <n v="151"/>
        <n v="1173"/>
        <n v="18"/>
        <n v="9"/>
        <n v="1601"/>
        <n v="44"/>
        <n v="0"/>
        <n v="2498"/>
        <n v="7098"/>
        <n v="3713"/>
        <n v="407"/>
        <n v="1516"/>
        <n v="106"/>
        <n v="24"/>
        <n v="359"/>
        <n v="3654"/>
        <n v="275"/>
        <n v="292"/>
        <n v="131"/>
        <n v="41"/>
        <n v="2685"/>
        <n v="6"/>
        <n v="96"/>
        <n v="822"/>
        <n v="250"/>
        <n v="141"/>
        <n v="15381"/>
        <n v="6830"/>
        <n v="30"/>
        <n v="1187"/>
        <n v="1607"/>
        <n v="2048"/>
        <n v="277"/>
        <n v="56"/>
        <n v="39"/>
        <n v="351"/>
        <n v="361"/>
        <n v="61"/>
        <n v="27"/>
        <n v="2535"/>
        <n v="11"/>
        <n v="229"/>
        <n v="466"/>
        <n v="7654"/>
        <n v="6777"/>
        <n v="2"/>
        <n v="140"/>
        <n v="2613"/>
        <n v="214"/>
        <n v="68"/>
        <n v="575"/>
        <n v="508"/>
        <n v="1566"/>
        <n v="1784"/>
        <n v="2122"/>
        <n v="86"/>
        <n v="2537"/>
        <n v="4232"/>
        <n v="2606"/>
        <n v="158"/>
        <n v="190"/>
        <n v="2624"/>
        <n v="234"/>
        <n v="642"/>
        <n v="2121"/>
        <n v="945"/>
        <n v="401"/>
        <n v="781"/>
        <n v="1635"/>
        <n v="157"/>
        <n v="12"/>
        <n v="7070"/>
        <n v="59"/>
        <n v="710"/>
        <n v="216"/>
        <n v="8772"/>
        <n v="1018"/>
        <n v="1978"/>
        <n v="23"/>
        <n v="8113"/>
        <n v="49"/>
        <n v="2990"/>
        <n v="1965"/>
        <n v="15"/>
        <n v="162"/>
        <n v="110"/>
        <n v="249"/>
        <n v="858"/>
        <n v="111"/>
        <n v="50"/>
        <n v="6072"/>
        <n v="8"/>
        <n v="2294"/>
        <n v="4408"/>
        <n v="206"/>
        <n v="1418"/>
        <n v="167"/>
        <n v="420"/>
        <n v="3547"/>
        <n v="484"/>
        <n v="2297"/>
        <n v="8839"/>
        <n v="879"/>
        <n v="423"/>
        <n v="202"/>
        <n v="1975"/>
        <n v="2291"/>
        <n v="612"/>
        <n v="2662"/>
        <n v="2091"/>
        <n v="1261"/>
        <n v="4751"/>
        <n v="17"/>
        <n v="2792"/>
        <n v="4649"/>
        <n v="1762"/>
        <n v="10100"/>
        <n v="3350"/>
        <n v="154"/>
        <n v="8564"/>
        <n v="4691"/>
        <n v="582"/>
        <n v="1901"/>
        <n v="248"/>
        <n v="630"/>
        <n v="2764"/>
        <n v="1368"/>
        <n v="6868"/>
        <n v="142"/>
        <n v="199"/>
        <n v="5929"/>
        <n v="239"/>
        <n v="2752"/>
        <n v="8154"/>
        <n v="4206"/>
        <n v="100"/>
        <n v="1877"/>
        <n v="461"/>
        <n v="425"/>
        <n v="161"/>
        <n v="3173"/>
        <n v="170"/>
        <n v="195"/>
        <n v="315"/>
        <n v="3777"/>
        <n v="2562"/>
        <n v="40"/>
        <n v="1083"/>
        <n v="75"/>
        <n v="291"/>
        <n v="734"/>
        <n v="8640"/>
        <n v="2090"/>
        <n v="144"/>
        <n v="539"/>
        <n v="150"/>
        <n v="1722"/>
        <n v="2033"/>
        <n v="316"/>
        <n v="26"/>
        <n v="791"/>
        <n v="90"/>
        <n v="1708"/>
        <n v="4102"/>
        <n v="4568"/>
        <n v="560"/>
        <n v="2386"/>
        <n v="1430"/>
        <n v="458"/>
        <n v="149"/>
        <n v="284"/>
        <n v="165"/>
        <n v="171"/>
        <n v="382"/>
        <n v="264"/>
        <n v="128"/>
        <n v="9219"/>
        <n v="486"/>
        <n v="278"/>
        <n v="2660"/>
        <n v="579"/>
        <n v="524"/>
        <n v="369"/>
        <n v="1190"/>
        <n v="1545"/>
        <n v="238"/>
        <n v="2577"/>
        <n v="4321"/>
        <n v="2546"/>
        <n v="2939"/>
        <n v="2269"/>
        <n v="1672"/>
        <n v="2461"/>
        <n v="16"/>
        <n v="1445"/>
        <n v="43"/>
        <n v="2627"/>
        <n v="58"/>
        <n v="258"/>
        <n v="532"/>
        <n v="1667"/>
        <n v="698"/>
        <n v="2007"/>
        <n v="4176"/>
        <n v="103"/>
        <n v="2981"/>
        <n v="4860"/>
        <n v="1035"/>
        <n v="2540"/>
        <n v="5879"/>
        <n v="10457"/>
        <n v="5"/>
        <n v="2495"/>
        <n v="285"/>
        <n v="732"/>
        <n v="178"/>
        <n v="2499"/>
        <n v="588"/>
        <n v="1571"/>
        <n v="635"/>
        <n v="1821"/>
        <n v="576"/>
        <n v="25"/>
        <n v="7382"/>
        <n v="2140"/>
        <n v="380"/>
        <n v="2865"/>
        <n v="796"/>
        <n v="1769"/>
        <n v="823"/>
        <n v="7276"/>
        <n v="2089"/>
        <n v="736"/>
        <n v="2730"/>
        <n v="465"/>
        <n v="3416"/>
        <n v="6003"/>
        <n v="2281"/>
        <n v="263"/>
        <n v="1037"/>
        <n v="159"/>
        <n v="3286"/>
        <n v="883"/>
        <n v="1484"/>
        <n v="84"/>
        <n v="10811"/>
        <n v="1969"/>
        <n v="334"/>
        <n v="6692"/>
        <n v="45"/>
        <n v="9577"/>
        <n v="3721"/>
        <n v="9157"/>
        <n v="179"/>
        <n v="3171"/>
        <n v="415"/>
        <n v="1907"/>
        <n v="2323"/>
        <n v="1741"/>
        <n v="215"/>
        <n v="2803"/>
        <n v="639"/>
        <n v="2058"/>
        <n v="3430"/>
        <n v="31"/>
        <n v="2167"/>
        <n v="82"/>
        <n v="2448"/>
        <n v="6431"/>
        <n v="155"/>
        <n v="2838"/>
        <n v="1420"/>
        <n v="5843"/>
        <n v="336"/>
        <n v="413"/>
        <n v="146"/>
        <n v="10386"/>
        <n v="21"/>
        <n v="2306"/>
        <n v="867"/>
        <n v="139"/>
        <n v="743"/>
        <n v="1712"/>
        <n v="5072"/>
        <n v="3063"/>
        <n v="28"/>
        <n v="394"/>
        <n v="4512"/>
        <n v="7133"/>
        <n v="98"/>
        <n v="297"/>
        <n v="436"/>
        <n v="2172"/>
        <n v="93"/>
        <n v="112"/>
        <n v="5224"/>
        <n v="1899"/>
        <n v="46"/>
        <n v="11228"/>
        <n v="13265"/>
        <n v="862"/>
        <n v="1616"/>
        <n v="2317"/>
        <n v="1306"/>
        <n v="42"/>
        <n v="3146"/>
        <n v="2348"/>
        <n v="164"/>
        <n v="527"/>
        <n v="51"/>
        <n v="11795"/>
        <n v="4700"/>
        <n v="507"/>
        <n v="735"/>
        <n v="4267"/>
        <n v="6342"/>
        <n v="3557"/>
        <n v="10927"/>
        <n v="6538"/>
        <n v="14"/>
        <n v="5598"/>
        <n v="10817"/>
        <n v="2388"/>
        <n v="3939"/>
        <n v="210"/>
        <n v="5805"/>
        <n v="35"/>
        <n v="399"/>
        <n v="2093"/>
        <n v="439"/>
        <n v="536"/>
        <n v="8114"/>
        <n v="273"/>
        <n v="34"/>
        <n v="1217"/>
        <n v="2617"/>
        <n v="2022"/>
        <n v="66"/>
        <n v="337"/>
        <n v="7441"/>
        <n v="8570"/>
        <n v="3142"/>
        <n v="3756"/>
        <n v="13539"/>
        <n v="47"/>
        <n v="3868"/>
        <n v="7131"/>
        <n v="504"/>
        <n v="3000"/>
        <n v="107"/>
        <n v="204"/>
        <n v="1170"/>
        <n v="57"/>
        <n v="4028"/>
        <n v="3177"/>
        <n v="749"/>
        <n v="198"/>
        <n v="8768"/>
        <n v="37"/>
        <n v="611"/>
        <n v="6091"/>
        <n v="2920"/>
        <n v="754"/>
        <n v="2480"/>
        <n v="2236"/>
        <n v="2259"/>
        <n v="1986"/>
        <n v="312"/>
        <n v="137"/>
        <n v="572"/>
        <n v="177"/>
        <n v="143"/>
        <n v="1115"/>
        <n v="2207"/>
        <n v="1789"/>
        <n v="217"/>
        <n v="2131"/>
        <n v="5311"/>
        <n v="2196"/>
        <n v="7892"/>
        <n v="411"/>
        <n v="3224"/>
        <n v="133"/>
        <n v="168"/>
        <n v="36"/>
        <n v="255"/>
        <n v="692"/>
        <n v="228"/>
        <n v="124"/>
        <n v="10586"/>
        <n v="408"/>
        <n v="296"/>
        <n v="790"/>
        <n v="537"/>
        <n v="2582"/>
        <n v="988"/>
        <n v="773"/>
        <n v="658"/>
        <n v="3222"/>
        <n v="634"/>
        <n v="2434"/>
        <n v="763"/>
        <n v="765"/>
        <n v="1930"/>
        <n v="8646"/>
        <n v="1822"/>
        <n v="837"/>
        <n v="356"/>
        <n v="129"/>
        <n v="4361"/>
        <n v="2321"/>
        <n v="2610"/>
        <n v="1812"/>
        <n v="313"/>
        <n v="200"/>
        <n v="750"/>
        <n v="185"/>
        <n v="1995"/>
        <n v="126"/>
        <n v="2477"/>
        <n v="4882"/>
        <n v="4054"/>
        <n v="6296"/>
        <n v="173"/>
        <n v="597"/>
        <n v="7361"/>
        <n v="2413"/>
        <n v="940"/>
        <n v="7710"/>
        <n v="62"/>
        <n v="64"/>
        <n v="5553"/>
        <n v="89"/>
        <n v="108"/>
        <n v="303"/>
        <n v="225"/>
        <n v="52"/>
        <n v="2652"/>
        <n v="1165"/>
        <n v="986"/>
        <n v="546"/>
        <n v="1862"/>
        <n v="511"/>
        <n v="2702"/>
        <n v="11614"/>
        <n v="1080"/>
        <n v="259"/>
        <n v="5480"/>
        <n v="366"/>
        <n v="2877"/>
        <n v="1003"/>
        <n v="4029"/>
        <n v="148"/>
        <n v="432"/>
        <n v="2818"/>
        <n v="4761"/>
        <n v="712"/>
        <n v="707"/>
        <n v="2766"/>
        <n v="489"/>
        <n v="156"/>
        <n v="8509"/>
        <n v="104"/>
        <n v="4273"/>
        <n v="701"/>
        <n v="272"/>
        <n v="116"/>
        <n v="1255"/>
        <n v="1466"/>
        <n v="2382"/>
        <n v="1434"/>
        <n v="3168"/>
        <n v="1833"/>
        <n v="472"/>
      </sharedItems>
    </cacheField>
    <cacheField name="first_risk_credit_limit_btch" numFmtId="0">
      <sharedItems containsSemiMixedTypes="0" containsString="0" containsNumber="1" containsInteger="1" minValue="2000" maxValue="18453920541" count="745">
        <n v="18025866436"/>
        <n v="53747650"/>
        <n v="16552645"/>
        <n v="309735835"/>
        <n v="10474254559"/>
        <n v="15253145"/>
        <n v="72736825"/>
        <n v="24078105"/>
        <n v="135223300"/>
        <n v="51025615"/>
        <n v="273742500"/>
        <n v="14222460"/>
        <n v="1765278627"/>
        <n v="140471740"/>
        <n v="7550290"/>
        <n v="17588860"/>
        <n v="12507835"/>
        <n v="548148700"/>
        <n v="2002900"/>
        <n v="1173100"/>
        <n v="135200"/>
        <n v="1697929790"/>
        <n v="2135100"/>
        <n v="238144525"/>
        <n v="116271500"/>
        <n v="70387305"/>
        <n v="1709840900"/>
        <n v="2631970"/>
        <n v="99792365"/>
        <n v="64838945"/>
        <n v="80317130"/>
        <n v="74522450"/>
        <n v="82019595"/>
        <n v="84400"/>
        <n v="3295138246"/>
        <n v="1454651724"/>
        <n v="71020255"/>
        <n v="23301450"/>
        <n v="96997300"/>
        <n v="54079945"/>
        <n v="11001745"/>
        <n v="17580985"/>
        <n v="3194903709"/>
        <n v="94982735"/>
        <n v="75014950"/>
        <n v="54979780"/>
        <n v="47621345"/>
        <n v="71627205"/>
        <n v="592273205"/>
        <n v="28071015"/>
        <n v="7471300"/>
        <n v="379547280"/>
        <n v="270010325"/>
        <n v="246990600"/>
        <n v="12605885"/>
        <n v="8116734033"/>
        <n v="4404300"/>
        <n v="537500"/>
        <n v="40279170"/>
        <n v="248601800"/>
        <n v="9458940"/>
        <n v="3216686174"/>
        <n v="5842085"/>
        <n v="23455611"/>
        <n v="13017337163"/>
        <n v="113400"/>
        <n v="1666045150"/>
        <n v="438300"/>
        <n v="78684810"/>
        <n v="23742325"/>
        <n v="6651200"/>
        <n v="18453920541"/>
        <n v="883215955"/>
        <n v="590894300"/>
        <n v="71701915"/>
        <n v="429680390"/>
        <n v="11815463429"/>
        <n v="12017621084"/>
        <n v="18825385"/>
        <n v="38655350"/>
        <n v="1770560"/>
        <n v="81073510"/>
        <n v="70625115"/>
        <n v="8316820"/>
        <n v="102060"/>
        <n v="73941985"/>
        <n v="54291015"/>
        <n v="1228400"/>
        <n v="119351365"/>
        <n v="3093565"/>
        <n v="7535870"/>
        <n v="90905775"/>
        <n v="240657170"/>
        <n v="481619595"/>
        <n v="514652400"/>
        <n v="60200"/>
        <n v="26035070"/>
        <n v="107178790"/>
        <n v="9007095"/>
        <n v="24787956"/>
        <n v="12615300"/>
        <n v="14865880"/>
        <n v="230685505"/>
        <n v="53070800"/>
        <n v="149292370"/>
        <n v="81168255"/>
        <n v="136082400"/>
        <n v="139877580"/>
        <n v="23386155"/>
        <n v="197412760"/>
        <n v="1772845082"/>
        <n v="25791150"/>
        <n v="110078300"/>
        <n v="20465965"/>
        <n v="2520233396"/>
        <n v="10677614299"/>
        <n v="33946885"/>
        <n v="15009945"/>
        <n v="2851820"/>
        <n v="3151924906"/>
        <n v="216424735"/>
        <n v="5587500"/>
        <n v="25002315"/>
        <n v="275727690"/>
        <n v="1723248155"/>
        <n v="35494740"/>
        <n v="81263050"/>
        <n v="5854900"/>
        <n v="368966590"/>
        <n v="23517995"/>
        <n v="26046705"/>
        <n v="11399137784"/>
        <n v="64743010"/>
        <n v="316232200"/>
        <n v="2046745"/>
        <n v="181849600"/>
        <n v="65909300"/>
        <n v="64600655"/>
        <n v="1824600"/>
        <n v="42247885"/>
        <n v="28268870"/>
        <n v="2977365"/>
        <n v="1652480067"/>
        <n v="48370605"/>
        <n v="18329357046"/>
        <n v="75549860"/>
        <n v="1719181640"/>
        <n v="569668220"/>
        <n v="2803650"/>
        <n v="49030680"/>
        <n v="103138500"/>
        <n v="181953650"/>
        <n v="7869485"/>
        <n v="13161769424"/>
        <n v="11987256254"/>
        <n v="13379140"/>
        <n v="19094000"/>
        <n v="1878200"/>
        <n v="97341255"/>
        <n v="16237555"/>
        <n v="234907300"/>
        <n v="2576340136"/>
        <n v="114479400"/>
        <n v="192952300"/>
        <n v="60150490"/>
        <n v="3231304359"/>
        <n v="1776078802"/>
        <n v="27341595"/>
        <n v="52921140"/>
        <n v="20858355"/>
        <n v="11565590939"/>
        <n v="13992714421"/>
        <n v="3216316421"/>
        <n v="14499270811"/>
        <n v="67185445"/>
        <n v="119227095"/>
        <n v="77846990"/>
        <n v="157780710"/>
        <n v="77296850"/>
        <n v="174968795"/>
        <n v="211302200"/>
        <n v="436145855"/>
        <n v="410627115"/>
        <n v="118099805"/>
        <n v="117642075"/>
        <n v="5699400"/>
        <n v="12297035"/>
        <n v="11395595"/>
        <n v="599778455"/>
        <n v="521209190"/>
        <n v="28456475"/>
        <n v="11421490019"/>
        <n v="1698243882"/>
        <n v="136300"/>
        <n v="50960200"/>
        <n v="108798800"/>
        <n v="43606400"/>
        <n v="306088905"/>
        <n v="3331998427"/>
        <n v="3326636972"/>
        <n v="263619900"/>
        <n v="9970400"/>
        <n v="15544600381"/>
        <n v="1700135"/>
        <n v="383148200"/>
        <n v="219942470"/>
        <n v="50690140"/>
        <n v="668600"/>
        <n v="12790238949"/>
        <n v="68727605"/>
        <n v="13219865"/>
        <n v="97129685"/>
        <n v="170648500"/>
        <n v="6802800"/>
        <n v="8451020"/>
        <n v="3241437939"/>
        <n v="2069397792"/>
        <n v="49028680"/>
        <n v="141497400"/>
        <n v="919100"/>
        <n v="2967165"/>
        <n v="11919927569"/>
        <n v="2754335"/>
        <n v="10871200"/>
        <n v="80070730"/>
        <n v="2984090"/>
        <n v="9929245"/>
        <n v="31336370"/>
        <n v="7611490"/>
        <n v="2757064506"/>
        <n v="78564050"/>
        <n v="71613905"/>
        <n v="23823065"/>
        <n v="662873600"/>
        <n v="63727500"/>
        <n v="36472750"/>
        <n v="8692100"/>
        <n v="74228365"/>
        <n v="71824640"/>
        <n v="9008002923"/>
        <n v="11196961485"/>
        <n v="15482625"/>
        <n v="16394305"/>
        <n v="30661300"/>
        <n v="98364840"/>
        <n v="1677626775"/>
        <n v="11242249879"/>
        <n v="228467400"/>
        <n v="12313860"/>
        <n v="1353899002"/>
        <n v="16877400"/>
        <n v="366480925"/>
        <n v="95455120"/>
        <n v="19945870"/>
        <n v="4604500"/>
        <n v="7862400"/>
        <n v="25385415"/>
        <n v="48539045"/>
        <n v="4506100"/>
        <n v="31800"/>
        <n v="2887995"/>
        <n v="6799200"/>
        <n v="23559085"/>
        <n v="50151805"/>
        <n v="9261595"/>
        <n v="73544795"/>
        <n v="623559590"/>
        <n v="10837100"/>
        <n v="1717937072"/>
        <n v="123503265"/>
        <n v="39309220"/>
        <n v="67476360"/>
        <n v="16207100"/>
        <n v="62462365"/>
        <n v="8558572383"/>
        <n v="8749100"/>
        <n v="12445020678"/>
        <n v="170254300"/>
        <n v="107250945"/>
        <n v="11016937064"/>
        <n v="13564894438"/>
        <n v="14501305148"/>
        <n v="11729092703"/>
        <n v="64635560"/>
        <n v="39894245"/>
        <n v="26511216"/>
        <n v="217600"/>
        <n v="16275555"/>
        <n v="112704100"/>
        <n v="2941400"/>
        <n v="2245987245"/>
        <n v="3314648777"/>
        <n v="1731305632"/>
        <n v="19765360"/>
        <n v="12997148309"/>
        <n v="64270460"/>
        <n v="26548651"/>
        <n v="10834815"/>
        <n v="11764747354"/>
        <n v="356075995"/>
        <n v="26933651"/>
        <n v="47643255"/>
        <n v="100581365"/>
        <n v="507017870"/>
        <n v="245321960"/>
        <n v="137767745"/>
        <n v="26300931"/>
        <n v="517220100"/>
        <n v="770785355"/>
        <n v="27831415"/>
        <n v="23643585"/>
        <n v="93357100"/>
        <n v="11977265"/>
        <n v="7367190"/>
        <n v="72110925"/>
        <n v="9625545"/>
        <n v="2189200"/>
        <n v="38233550"/>
        <n v="63376665"/>
        <n v="1725077775"/>
        <n v="23324395"/>
        <n v="20326375"/>
        <n v="17475510376"/>
        <n v="71221025"/>
        <n v="36644115"/>
        <n v="80626930"/>
        <n v="21584390"/>
        <n v="11115730"/>
        <n v="51950"/>
        <n v="206735170"/>
        <n v="18133960"/>
        <n v="73921800"/>
        <n v="1509200"/>
        <n v="14255780"/>
        <n v="82418260"/>
        <n v="15633230"/>
        <n v="299863520"/>
        <n v="134862940"/>
        <n v="19696655"/>
        <n v="410779955"/>
        <n v="2782695"/>
        <n v="10245170"/>
        <n v="13440506284"/>
        <n v="14105582873"/>
        <n v="61850605"/>
        <n v="509808780"/>
        <n v="64686875"/>
        <n v="77131480"/>
        <n v="24263485"/>
        <n v="173492175"/>
        <n v="45427040"/>
        <n v="174652765"/>
        <n v="257385265"/>
        <n v="73767100"/>
        <n v="2245954645"/>
        <n v="1665581037"/>
        <n v="12621435"/>
        <n v="16450355"/>
        <n v="14302400"/>
        <n v="21913510"/>
        <n v="15124865613"/>
        <n v="142217750"/>
        <n v="71670005"/>
        <n v="103675445"/>
        <n v="18181674206"/>
        <n v="3347667071"/>
        <n v="1703695695"/>
        <n v="1714854815"/>
        <n v="984288740"/>
        <n v="9889838824"/>
        <n v="3279949309"/>
        <n v="1682088621"/>
        <n v="71713905"/>
        <n v="25257891"/>
        <n v="470598035"/>
        <n v="367351600"/>
        <n v="220053500"/>
        <n v="22131740"/>
        <n v="64689945"/>
        <n v="2159520957"/>
        <n v="15997475"/>
        <n v="12341217269"/>
        <n v="130710655"/>
        <n v="43719575"/>
        <n v="7671800"/>
        <n v="594937320"/>
        <n v="120131535"/>
        <n v="7580900"/>
        <n v="63363300"/>
        <n v="599841540"/>
        <n v="1725053480"/>
        <n v="17806814051"/>
        <n v="25735836"/>
        <n v="249408675"/>
        <n v="79464150"/>
        <n v="1749032207"/>
        <n v="1684108650"/>
        <n v="147673060"/>
        <n v="1783915171"/>
        <n v="3060565"/>
        <n v="22569400"/>
        <n v="17051045041"/>
        <n v="71468805"/>
        <n v="58510700"/>
        <n v="1279829952"/>
        <n v="41769650"/>
        <n v="66137195"/>
        <n v="64660350"/>
        <n v="28007745"/>
        <n v="39378785"/>
        <n v="64473845"/>
        <n v="7678862338"/>
        <n v="1774640402"/>
        <n v="388744430"/>
        <n v="47137410"/>
        <n v="22159810"/>
        <n v="10277285509"/>
        <n v="74279650"/>
        <n v="53903575"/>
        <n v="276100"/>
        <n v="32812615"/>
        <n v="16247640"/>
        <n v="61644010"/>
        <n v="46448300"/>
        <n v="1960797657"/>
        <n v="134204485"/>
        <n v="13661265"/>
        <n v="11150705"/>
        <n v="169316420"/>
        <n v="7143510"/>
        <n v="614997570"/>
        <n v="14358565"/>
        <n v="26717411"/>
        <n v="1690957340"/>
        <n v="3298771774"/>
        <n v="5865600"/>
        <n v="1562800"/>
        <n v="2978375481"/>
        <n v="26129486"/>
        <n v="84700"/>
        <n v="3008765"/>
        <n v="350500"/>
        <n v="683600"/>
        <n v="19491415"/>
        <n v="10269312608"/>
        <n v="37478000"/>
        <n v="2436400"/>
        <n v="347021280"/>
        <n v="88594155"/>
        <n v="2715720"/>
        <n v="1724498095"/>
        <n v="786714040"/>
        <n v="425556765"/>
        <n v="68241350"/>
        <n v="16195505"/>
        <n v="121072335"/>
        <n v="48488550"/>
        <n v="6919400"/>
        <n v="1716010"/>
        <n v="11692663539"/>
        <n v="10080475269"/>
        <n v="1677096137"/>
        <n v="219514625"/>
        <n v="1760510"/>
        <n v="49208580"/>
        <n v="160268340"/>
        <n v="9865650"/>
        <n v="99140200"/>
        <n v="2956895"/>
        <n v="64473185"/>
        <n v="10893900"/>
        <n v="11586010"/>
        <n v="19270025"/>
        <n v="22653345"/>
        <n v="13510510424"/>
        <n v="97471720"/>
        <n v="1510000"/>
        <n v="798278380"/>
        <n v="200217565"/>
        <n v="48895380"/>
        <n v="11730865"/>
        <n v="2098110"/>
        <n v="1253200"/>
        <n v="2690191656"/>
        <n v="250323285"/>
        <n v="64806765"/>
        <n v="229218610"/>
        <n v="181862880"/>
        <n v="900212185"/>
        <n v="565315115"/>
        <n v="12160735"/>
        <n v="34000"/>
        <n v="309773735"/>
        <n v="205183300"/>
        <n v="745583815"/>
        <n v="207530505"/>
        <n v="365740300"/>
        <n v="28581770"/>
        <n v="131282400"/>
        <n v="14871915"/>
        <n v="16017465"/>
        <n v="120188795"/>
        <n v="84244200"/>
        <n v="11428430"/>
        <n v="15166495"/>
        <n v="3555400"/>
        <n v="4907000"/>
        <n v="22062330"/>
        <n v="26652745"/>
        <n v="237416700"/>
        <n v="48999465"/>
        <n v="1142800"/>
        <n v="445100"/>
        <n v="15000"/>
        <n v="13293209844"/>
        <n v="101944295"/>
        <n v="72119635"/>
        <n v="69226430"/>
        <n v="25400"/>
        <n v="88142875"/>
        <n v="44839210"/>
        <n v="12408735"/>
        <n v="50319400"/>
        <n v="45336180"/>
        <n v="1637856447"/>
        <n v="288613140"/>
        <n v="703648715"/>
        <n v="207065555"/>
        <n v="132746540"/>
        <n v="1087663425"/>
        <n v="23468395"/>
        <n v="26486471"/>
        <n v="51466565"/>
        <n v="77494655"/>
        <n v="126512220"/>
        <n v="344850700"/>
        <n v="22622885"/>
        <n v="8611800"/>
        <n v="191675570"/>
        <n v="24803590"/>
        <n v="91915695"/>
        <n v="3327636281"/>
        <n v="2248481231"/>
        <n v="54760945"/>
        <n v="166397060"/>
        <n v="16560439726"/>
        <n v="2835321876"/>
        <n v="4873500"/>
        <n v="710273375"/>
        <n v="21965330"/>
        <n v="68289430"/>
        <n v="2252222031"/>
        <n v="269106885"/>
        <n v="118669690"/>
        <n v="22856260"/>
        <n v="26117175"/>
        <n v="1725091975"/>
        <n v="64606645"/>
        <n v="106953680"/>
        <n v="49666940"/>
        <n v="2751710"/>
        <n v="10872487359"/>
        <n v="13186748678"/>
        <n v="12548738699"/>
        <n v="3225769069"/>
        <n v="1725081395"/>
        <n v="98478075"/>
        <n v="3342343252"/>
        <n v="53824435"/>
        <n v="20864320"/>
        <n v="15422885"/>
        <n v="2515300"/>
        <n v="3338480872"/>
        <n v="23772285"/>
        <n v="75592070"/>
        <n v="26774151"/>
        <n v="29184370"/>
        <n v="424563155"/>
        <n v="11077194038"/>
        <n v="11554881694"/>
        <n v="82520675"/>
        <n v="68589805"/>
        <n v="67333100"/>
        <n v="1864509227"/>
        <n v="389024105"/>
        <n v="79951585"/>
        <n v="722529730"/>
        <n v="7222600"/>
        <n v="162445125"/>
        <n v="37110900"/>
        <n v="97447965"/>
        <n v="93463245"/>
        <n v="13386440"/>
        <n v="1776567442"/>
        <n v="80382945"/>
        <n v="42282895"/>
        <n v="64788420"/>
        <n v="9649455"/>
        <n v="85163880"/>
        <n v="64750345"/>
        <n v="21428585"/>
        <n v="4386300"/>
        <n v="1000909500"/>
        <n v="77141045"/>
        <n v="3345175602"/>
        <n v="1688166057"/>
        <n v="75762795"/>
        <n v="22286620"/>
        <n v="3063224796"/>
        <n v="13681185"/>
        <n v="9652811869"/>
        <n v="95866860"/>
        <n v="428314210"/>
        <n v="29837155"/>
        <n v="198998700"/>
        <n v="2629370806"/>
        <n v="96752575"/>
        <n v="28402905"/>
        <n v="71619110"/>
        <n v="65189090"/>
        <n v="9866685"/>
        <n v="71598905"/>
        <n v="1634060"/>
        <n v="20268380"/>
        <n v="91400"/>
        <n v="13606515358"/>
        <n v="7475500"/>
        <n v="7475300"/>
        <n v="311030790"/>
        <n v="68574260"/>
        <n v="2927140"/>
        <n v="89189400"/>
        <n v="2911634906"/>
        <n v="17576770"/>
        <n v="3263709201"/>
        <n v="79413645"/>
        <n v="149779035"/>
        <n v="25530110"/>
        <n v="11020081790"/>
        <n v="15009745376"/>
        <n v="71572905"/>
        <n v="9580567608"/>
        <n v="3257234754"/>
        <n v="10369635"/>
        <n v="37209180"/>
        <n v="6895325"/>
        <n v="64408245"/>
        <n v="25953200"/>
        <n v="78552100"/>
        <n v="95866260"/>
        <n v="69747660"/>
        <n v="11845895"/>
        <n v="114469180"/>
        <n v="349981200"/>
        <n v="447820105"/>
        <n v="286803470"/>
        <n v="38913920"/>
        <n v="10500160"/>
        <n v="1211505"/>
        <n v="75007810"/>
        <n v="672370300"/>
        <n v="2221481992"/>
        <n v="38471910"/>
        <n v="24253301"/>
        <n v="64397045"/>
        <n v="292123250"/>
        <n v="2763120"/>
        <n v="2488830"/>
        <n v="1553725751"/>
        <n v="23509395"/>
        <n v="5333100"/>
        <n v="74800580"/>
        <n v="10291230"/>
        <n v="43896260"/>
        <n v="12413935"/>
        <n v="9035500"/>
        <n v="835200"/>
        <n v="125413575"/>
        <n v="59516210"/>
        <n v="15233210"/>
        <n v="53626195"/>
        <n v="18762490"/>
        <n v="16467450"/>
        <n v="584235195"/>
        <n v="12218778734"/>
        <n v="91669860"/>
        <n v="17175140"/>
        <n v="67957675"/>
        <n v="127399100"/>
        <n v="6246775"/>
        <n v="909652370"/>
        <n v="47894160"/>
        <n v="19886655"/>
        <n v="565925445"/>
        <n v="2865560"/>
        <n v="19063070"/>
        <n v="16083755461"/>
        <n v="1708708357"/>
        <n v="14876466293"/>
        <n v="534526870"/>
        <n v="46279365"/>
        <n v="19898900"/>
        <n v="118404360"/>
        <n v="26786711"/>
        <n v="22051255"/>
        <n v="168553935"/>
        <n v="241398010"/>
        <n v="30477785"/>
        <n v="7473810"/>
        <n v="14139455"/>
        <n v="16415155"/>
        <n v="1318900"/>
        <n v="167703000"/>
        <n v="15354575"/>
        <n v="13758225"/>
        <n v="295420360"/>
        <n v="2586325"/>
        <n v="2000"/>
        <n v="64881445"/>
        <n v="16514400"/>
        <n v="27066151"/>
        <n v="73322435"/>
        <n v="81112175"/>
        <n v="54625075"/>
        <n v="127641740"/>
        <n v="20666590"/>
        <n v="7730780"/>
        <n v="577200"/>
        <n v="3207396979"/>
        <n v="9852100"/>
        <n v="110913420"/>
        <n v="16469055"/>
        <n v="11936500"/>
        <n v="588900"/>
        <n v="2741060"/>
        <n v="39807400"/>
        <n v="117691100"/>
        <n v="53998800"/>
        <n v="167703905"/>
        <n v="125497095"/>
        <n v="27534065"/>
        <n v="7542490"/>
        <n v="3271100"/>
        <n v="64372945"/>
        <n v="5100"/>
      </sharedItems>
    </cacheField>
    <cacheField name="loan_principal_amount" numFmtId="0">
      <sharedItems containsNumber="1" containsMixedTypes="1" count="730">
        <n v="28110000"/>
        <n v="860200"/>
        <n v="4791312.64"/>
        <n v="41218598.55"/>
        <n v="26063901.52"/>
        <n v="98500"/>
        <n v="4081600"/>
        <n v="795025.05"/>
        <n v="51588900"/>
        <n v="8953636.97"/>
        <n v="107612000"/>
        <n v="5245498.56"/>
        <n v="2292200"/>
        <n v="47353788.43"/>
        <n v="16900"/>
        <n v="1474495.42"/>
        <n v="97700"/>
        <n v="141634200"/>
        <n v="495318.7"/>
        <n v="614700"/>
        <n v="47800"/>
        <n v="731463.16"/>
        <n v="489327.98"/>
        <n v="204300"/>
        <n v="18556644.2"/>
        <n v="260000"/>
        <n v="609891.11"/>
        <n v="13400"/>
        <n v="6458263.88"/>
        <n v="189894.44"/>
        <n v="107300"/>
        <n v="233715.98"/>
        <n v="817500"/>
        <n v="1500"/>
        <n v="5720300"/>
        <n v="31104786.87"/>
        <n v="5878200"/>
        <n v="324726.07"/>
        <n v="35831600"/>
        <n v="856800"/>
        <n v="161300"/>
        <n v="4404431.39"/>
        <n v="5684824.89"/>
        <n v="1389420.26"/>
        <n v="711300"/>
        <n v="7226655.84"/>
        <n v="98900"/>
        <n v="122500"/>
        <n v="8006800"/>
        <n v="240200"/>
        <s v="\N"/>
        <n v="17833219.19"/>
        <n v="96636780"/>
        <n v="78198200"/>
        <n v="5009149.39"/>
        <n v="25653239.41"/>
        <n v="1462900"/>
        <n v="199800"/>
        <n v="2915033.15"/>
        <n v="74300813.5"/>
        <n v="3725440"/>
        <n v="3570343.07"/>
        <n v="1357845"/>
        <n v="273100"/>
        <n v="50140936.26"/>
        <n v="30500"/>
        <n v="728808.15"/>
        <n v="89900"/>
        <n v="5405700"/>
        <n v="1573500"/>
        <n v="22800"/>
        <n v="2225200"/>
        <n v="305636667.98"/>
        <n v="162445600"/>
        <n v="443230"/>
        <n v="6856800"/>
        <n v="18568600"/>
        <n v="27888155.13"/>
        <n v="1912978.13"/>
        <n v="440600"/>
        <n v="275654.38"/>
        <n v="23400"/>
        <n v="570900"/>
        <n v="2677545"/>
        <n v="500"/>
        <n v="1714400"/>
        <n v="615900"/>
        <n v="230900"/>
        <n v="38569044.07"/>
        <n v="113400"/>
        <n v="86900"/>
        <n v="1695660"/>
        <n v="2437300"/>
        <n v="51116005.21"/>
        <n v="158484500"/>
        <n v="12100"/>
        <n v="891800"/>
        <n v="32183677.95"/>
        <n v="2599407.88"/>
        <n v="467400"/>
        <n v="4579300"/>
        <n v="5532570"/>
        <n v="12139100"/>
        <n v="19717800"/>
        <n v="36821333.63"/>
        <n v="786300"/>
        <n v="46160200"/>
        <n v="53279960"/>
        <n v="638344.12"/>
        <n v="21450886.09"/>
        <n v="1650800"/>
        <n v="1242600"/>
        <n v="35836605.99"/>
        <n v="1450183.62"/>
        <n v="7720432"/>
        <n v="23008944.16"/>
        <n v="5568821.85"/>
        <n v="6482630"/>
        <n v="10800"/>
        <n v="10324401.97"/>
        <n v="13181800.3"/>
        <n v="1723300"/>
        <n v="36800"/>
        <n v="88236120"/>
        <n v="558038.4"/>
        <n v="6523175.9"/>
        <n v="112500"/>
        <n v="1462300"/>
        <n v="130297065"/>
        <n v="306466.33"/>
        <n v="6012671.87"/>
        <n v="25945658.83"/>
        <n v="287475"/>
        <n v="113376900"/>
        <n v="509859.47"/>
        <n v="55255300"/>
        <n v="24435400"/>
        <n v="106563.74"/>
        <n v="640733.54"/>
        <n v="813900"/>
        <n v="2268660.5"/>
        <n v="717700"/>
        <n v="15049500"/>
        <n v="663380"/>
        <n v="326319.05"/>
        <n v="127761120.15"/>
        <n v="41100"/>
        <n v="6400"/>
        <n v="35486800"/>
        <n v="69713320"/>
        <n v="1918275"/>
        <n v="21842600"/>
        <n v="1508900"/>
        <n v="5139242.02"/>
        <n v="6728776.09"/>
        <n v="21900"/>
        <n v="14200"/>
        <n v="73081500"/>
        <n v="5441968.08"/>
        <n v="49252900"/>
        <n v="75976400"/>
        <n v="7170409.4"/>
        <n v="3333047.9"/>
        <n v="542400"/>
        <n v="2960900"/>
        <n v="956920"/>
        <n v="1308306.01"/>
        <n v="27601574.68"/>
        <n v="38470969.4"/>
        <n v="7929400"/>
        <n v="43584937.95"/>
        <n v="121325"/>
        <n v="32895707.02"/>
        <n v="7632800"/>
        <n v="61419115"/>
        <n v="284900"/>
        <n v="48643784.04"/>
        <n v="76161000"/>
        <n v="14019800"/>
        <n v="70344561.02"/>
        <n v="198100"/>
        <n v="41638700"/>
        <n v="2124200"/>
        <n v="95100"/>
        <n v="114200"/>
        <n v="160103180.59"/>
        <n v="29963736.96"/>
        <n v="3050111.66"/>
        <n v="26025171.59"/>
        <n v="1988755.86"/>
        <n v="56300"/>
        <n v="5087000"/>
        <n v="34441402.28"/>
        <n v="16385900"/>
        <n v="119697920"/>
        <n v="1800000"/>
        <n v="2780300"/>
        <n v="96871900"/>
        <n v="3327600"/>
        <n v="44114171.86"/>
        <n v="387620"/>
        <n v="153876800"/>
        <n v="32545921.51"/>
        <n v="883180"/>
        <n v="174700"/>
        <n v="28534769.37"/>
        <n v="3095003.51"/>
        <n v="4430125.65"/>
        <n v="1687300"/>
        <n v="61383061.25"/>
        <n v="2851100"/>
        <n v="2019750"/>
        <n v="3349784.9"/>
        <n v="23357664.99"/>
        <n v="40126400"/>
        <n v="198400"/>
        <n v="23000"/>
        <n v="13198500"/>
        <n v="951975"/>
        <n v="4057345"/>
        <n v="94500"/>
        <n v="79740"/>
        <n v="2815200.16"/>
        <n v="471600"/>
        <n v="52700"/>
        <n v="8204188.64"/>
        <n v="170500"/>
        <n v="256998.55"/>
        <n v="313700"/>
        <n v="213130200"/>
        <n v="20687000"/>
        <n v="510450"/>
        <n v="2868600"/>
        <n v="2962500"/>
        <n v="1162500"/>
        <n v="30104607.75"/>
        <n v="24433290.94"/>
        <n v="4675395.19"/>
        <n v="179700"/>
        <n v="9593200"/>
        <n v="877100"/>
        <n v="444401.82"/>
        <n v="26420989.26"/>
        <n v="79918800"/>
        <n v="856420"/>
        <n v="27224935.59"/>
        <n v="6383798.46"/>
        <n v="17128633.85"/>
        <n v="8772387.21"/>
        <n v="7467510"/>
        <n v="1962980"/>
        <n v="2557100"/>
        <n v="400100"/>
        <n v="2075900"/>
        <n v="31800"/>
        <n v="5900"/>
        <n v="20800"/>
        <n v="3000"/>
        <n v="2995000"/>
        <n v="2615674.73"/>
        <n v="1030018.92"/>
        <n v="179491252.4"/>
        <n v="3516900"/>
        <n v="2154550.69"/>
        <n v="41806949.35"/>
        <n v="4816346.76"/>
        <n v="3937362.71"/>
        <n v="6683900"/>
        <n v="7065089.92"/>
        <n v="25764729.53"/>
        <n v="2311765.86"/>
        <n v="50694181.86"/>
        <n v="63305300"/>
        <n v="32282049.29"/>
        <n v="48758259.5"/>
        <n v="39090013.63"/>
        <n v="31174400"/>
        <n v="41748194.08"/>
        <n v="184515.8"/>
        <n v="6269500"/>
        <n v="294690"/>
        <n v="60700"/>
        <n v="9100"/>
        <n v="37365404.34"/>
        <n v="847100"/>
        <n v="77900"/>
        <n v="3694711.7"/>
        <n v="2366762.89"/>
        <n v="3689770.03"/>
        <n v="26024400"/>
        <n v="5260456.44"/>
        <n v="283700"/>
        <n v="219200"/>
        <n v="27428587.52"/>
        <n v="31536041.12"/>
        <n v="126500"/>
        <n v="745300"/>
        <n v="37684155"/>
        <n v="31005861.15"/>
        <n v="8677300"/>
        <n v="44338040.25"/>
        <n v="341800"/>
        <n v="127483200"/>
        <n v="214085697.4"/>
        <n v="9000"/>
        <n v="66100"/>
        <n v="32532700"/>
        <n v="128600"/>
        <n v="57900"/>
        <n v="266139.89"/>
        <n v="3223304.47"/>
        <n v="564800"/>
        <n v="32000"/>
        <n v="4369754.91"/>
        <n v="56500"/>
        <n v="1046328.08"/>
        <n v="135800"/>
        <n v="42689275.94"/>
        <n v="315990"/>
        <n v="4808019.78"/>
        <n v="2000"/>
        <n v="186800"/>
        <n v="116100"/>
        <n v="5000"/>
        <n v="11545378.12"/>
        <n v="7202480"/>
        <n v="27494900"/>
        <n v="696900"/>
        <n v="2991340.43"/>
        <n v="1165600"/>
        <n v="125005"/>
        <n v="115943750"/>
        <n v="35844860.44"/>
        <n v="6162977.02"/>
        <n v="20917000"/>
        <n v="554680"/>
        <n v="271500"/>
        <n v="13349400"/>
        <n v="34328400"/>
        <n v="4778438.56"/>
        <n v="47876259.21"/>
        <n v="131069.62"/>
        <n v="14716846.56"/>
        <n v="8024790"/>
        <n v="45983977.72"/>
        <n v="3447800"/>
        <n v="62503408.13"/>
        <n v="92534005"/>
        <n v="24305300"/>
        <n v="21200"/>
        <n v="2707326.2"/>
        <n v="221500"/>
        <n v="196800"/>
        <n v="4205000"/>
        <n v="5714181.51"/>
        <n v="3175700"/>
        <n v="46982343.35"/>
        <n v="82000"/>
        <n v="5772086.71"/>
        <n v="25875000"/>
        <n v="395600"/>
        <n v="486472.99"/>
        <n v="560581.9"/>
        <n v="260460540"/>
        <n v="23423178.86"/>
        <n v="3452770.94"/>
        <n v="35700879.17"/>
        <n v="53900"/>
        <n v="317600"/>
        <n v="68244508.38"/>
        <n v="28019830.98"/>
        <n v="86088700"/>
        <n v="1250849.57"/>
        <n v="97500"/>
        <n v="20094468.8"/>
        <n v="5188160"/>
        <n v="23959071.11"/>
        <n v="17091180.94"/>
        <n v="7036500"/>
        <n v="2509600"/>
        <n v="16859300"/>
        <n v="3807400"/>
        <n v="76300"/>
        <n v="23411300"/>
        <n v="23797100"/>
        <n v="255500"/>
        <n v="39414800"/>
        <n v="248800"/>
        <n v="15237700"/>
        <n v="66400"/>
        <n v="1993726.8"/>
        <n v="533881.7"/>
        <n v="43133169.95"/>
        <n v="33108592.24"/>
        <n v="83800"/>
        <n v="4542200"/>
        <n v="50386804.94"/>
        <n v="89400"/>
        <n v="8940232.99"/>
        <n v="38847991.69"/>
        <n v="2528726.98"/>
        <n v="72600"/>
        <n v="218500"/>
        <n v="383600"/>
        <n v="3552951.48"/>
        <n v="75000"/>
        <n v="34425213.23"/>
        <n v="1641500"/>
        <n v="165370202"/>
        <n v="814300"/>
        <n v="144000"/>
        <n v="25420818.27"/>
        <n v="51000"/>
        <n v="77100"/>
        <n v="45400"/>
        <n v="3627553.02"/>
        <n v="683200"/>
        <n v="5676546.62"/>
        <n v="20702000"/>
        <n v="29042744.37"/>
        <n v="43690818.16"/>
        <n v="124400"/>
        <n v="4237213.6"/>
        <n v="68947377.58"/>
        <n v="43300"/>
        <n v="46166900"/>
        <n v="184200"/>
        <n v="674759.78"/>
        <n v="3472745.96"/>
        <n v="2743600"/>
        <n v="30300"/>
        <n v="9043215.48"/>
        <n v="386300"/>
        <n v="22300"/>
        <n v="14000"/>
        <n v="2900"/>
        <n v="60300"/>
        <n v="6328216.39"/>
        <n v="38715474.43"/>
        <n v="617600"/>
        <n v="1171600"/>
        <n v="42091223.19"/>
        <n v="13399513.17"/>
        <n v="481306.28"/>
        <n v="191100"/>
        <n v="259386150"/>
        <n v="169454099.9"/>
        <n v="239245"/>
        <n v="135700"/>
        <n v="5790300"/>
        <n v="674800"/>
        <n v="25300"/>
        <n v="547006.11"/>
        <n v="19824200"/>
        <n v="26645657.28"/>
        <n v="2684181.9"/>
        <n v="9168783.11"/>
        <n v="299670.21"/>
        <n v="100900"/>
        <n v="55796473.35"/>
        <n v="341900"/>
        <n v="33720700"/>
        <n v="32800"/>
        <n v="185197.26"/>
        <n v="3214500"/>
        <n v="1598698.43"/>
        <n v="1092557.18"/>
        <n v="8323248.44"/>
        <n v="1486400"/>
        <n v="50900"/>
        <n v="471800"/>
        <n v="234725955"/>
        <n v="74355075"/>
        <n v="171100"/>
        <n v="4122986"/>
        <n v="442400"/>
        <n v="364000"/>
        <n v="7273563.02"/>
        <n v="31998333.38"/>
        <n v="272700"/>
        <n v="79800410"/>
        <n v="63146147.61"/>
        <n v="227278590"/>
        <n v="126392642"/>
        <n v="123200"/>
        <n v="45389304.3"/>
        <n v="59431160.03"/>
        <n v="234721680"/>
        <n v="19022143.04"/>
        <n v="107035200"/>
        <n v="1341600"/>
        <n v="56649400"/>
        <n v="282700"/>
        <n v="198040.27"/>
        <n v="2069900"/>
        <n v="28654700"/>
        <n v="2310507.24"/>
        <n v="213700"/>
        <n v="1290700"/>
        <n v="1895200"/>
        <n v="6550900.36"/>
        <n v="7710040"/>
        <n v="87789500"/>
        <n v="1682000"/>
        <n v="111400"/>
        <n v="19702600"/>
        <n v="32363675.99"/>
        <n v="130000"/>
        <n v="375700"/>
        <n v="4300"/>
        <n v="1367600"/>
        <n v="864811.99"/>
        <n v="17598800"/>
        <n v="569100"/>
        <n v="3454333.92"/>
        <n v="90395037.6"/>
        <n v="181862763.5"/>
        <n v="53979774.86"/>
        <n v="47731799.52"/>
        <n v="264977345"/>
        <n v="153900"/>
        <n v="326700"/>
        <n v="928986.86"/>
        <n v="1221274.15"/>
        <n v="49331978"/>
        <n v="131912500"/>
        <n v="3583554.41"/>
        <n v="2765400"/>
        <n v="26672443.08"/>
        <n v="589582.83"/>
        <n v="1392500"/>
        <n v="3124200"/>
        <n v="7002700"/>
        <n v="827900"/>
        <n v="64582653.3"/>
        <n v="53078345.09"/>
        <n v="7944453"/>
        <n v="1712100"/>
        <n v="182315636.57"/>
        <n v="1240520.75"/>
        <n v="491165"/>
        <n v="3864500"/>
        <n v="38865914.08"/>
        <n v="35729769.83"/>
        <n v="181720"/>
        <n v="4418046"/>
        <n v="4000"/>
        <n v="131400"/>
        <n v="37159980.04"/>
        <n v="733850"/>
        <n v="57600"/>
        <n v="22343328.31"/>
        <n v="46403395.45"/>
        <n v="28551422.25"/>
        <n v="3950143.15"/>
        <n v="196500"/>
        <n v="1382500"/>
        <n v="570800"/>
        <n v="19000"/>
        <n v="233300"/>
        <n v="5703460"/>
        <n v="1144100"/>
        <n v="2393200"/>
        <n v="166700"/>
        <n v="148829.99"/>
        <n v="254900"/>
        <n v="12497718"/>
        <n v="258700"/>
        <n v="37418842.24"/>
        <n v="22834700"/>
        <n v="1606780"/>
        <n v="166205"/>
        <n v="24652600"/>
        <n v="27588704"/>
        <n v="15945828.71"/>
        <n v="758960.57"/>
        <n v="158820175"/>
        <n v="3497000"/>
        <n v="52379777.58"/>
        <n v="1020300"/>
        <n v="1350400"/>
        <n v="1306251.75"/>
        <n v="244200"/>
        <n v="20400"/>
        <n v="2118900"/>
        <n v="4844128.93"/>
        <n v="157100"/>
        <n v="2924650.36"/>
        <n v="1416700"/>
        <n v="162600"/>
        <n v="462100"/>
        <n v="1248200"/>
        <n v="262170100"/>
        <n v="3096100"/>
        <n v="204900"/>
        <n v="2319765.69"/>
        <n v="1752400"/>
        <n v="141200"/>
        <n v="9017759.72"/>
        <n v="5338220"/>
        <n v="33924788.11"/>
        <n v="6007373.58"/>
        <n v="3633200"/>
        <n v="5625977.96"/>
        <n v="67717200"/>
        <n v="6831225.67"/>
        <n v="29673148.61"/>
        <n v="4428767.72"/>
        <n v="224440"/>
        <n v="3868470.29"/>
        <n v="2370995"/>
        <n v="422705"/>
        <n v="7764335"/>
        <n v="52300"/>
        <n v="38836000"/>
        <n v="28800"/>
        <n v="2500"/>
        <n v="104682030"/>
        <n v="155600"/>
        <n v="27600"/>
        <n v="31021500"/>
        <n v="8064253.72"/>
        <n v="2278437.01"/>
        <n v="6631400"/>
        <n v="1178974.09"/>
        <n v="53927842"/>
        <n v="771600"/>
        <n v="23277517.41"/>
        <n v="43523602.59"/>
        <n v="63400"/>
        <n v="31884932.59"/>
        <n v="3567778.6"/>
        <n v="1494817.23"/>
        <n v="5044546.8"/>
        <n v="2321400"/>
        <n v="20600"/>
        <n v="8330900"/>
        <n v="27060800"/>
        <n v="1200517.86"/>
        <n v="945200"/>
        <n v="214720"/>
        <n v="36925186.22"/>
        <n v="106666100"/>
        <n v="30207000"/>
        <n v="97796793.99"/>
        <n v="682215"/>
        <n v="178100"/>
        <n v="335900"/>
        <n v="4145300"/>
        <n v="163458800"/>
        <n v="13795500"/>
        <n v="5344270.54"/>
        <n v="328700"/>
        <n v="93070751"/>
        <n v="712147.73"/>
        <n v="899042.8"/>
        <n v="29124759.51"/>
        <n v="266400"/>
        <n v="1237800"/>
        <n v="776320"/>
        <n v="3152993.14"/>
        <n v="805500"/>
        <n v="2702300"/>
        <n v="336800"/>
        <n v="42510639.04"/>
        <n v="7248645.08"/>
        <n v="2612523.5"/>
        <n v="7855414.58"/>
        <n v="5536901"/>
        <n v="6153279.72"/>
        <n v="516800"/>
        <n v="23510797.82"/>
        <n v="10760151.82"/>
        <n v="6534456.75"/>
        <n v="1165700"/>
        <n v="44502018.56"/>
        <n v="2128250"/>
        <n v="219371463.9"/>
        <n v="6765310.36"/>
        <n v="2129012.99"/>
        <n v="35240500"/>
        <n v="888555"/>
        <n v="5752298.04"/>
        <n v="44606078.27"/>
        <n v="2340295.94"/>
        <n v="21630900"/>
        <n v="26856648.01"/>
        <n v="686900"/>
        <n v="6951900"/>
        <n v="35172630.97"/>
        <n v="91800"/>
        <n v="275300"/>
        <n v="63656760"/>
        <n v="4462400"/>
        <n v="3765486.7"/>
        <n v="45500"/>
        <n v="6073190.13"/>
        <n v="133200"/>
        <n v="164100"/>
        <n v="45253400"/>
        <n v="5550534.72"/>
        <n v="904400.41"/>
        <n v="102398962"/>
        <n v="54300"/>
        <n v="193093.15"/>
        <n v="6158300"/>
        <n v="228500"/>
        <n v="136420"/>
        <n v="1205100"/>
        <n v="692900"/>
        <n v="55669971"/>
        <n v="8039225"/>
        <n v="2457508.67"/>
        <n v="192800"/>
        <n v="3759924.96"/>
        <n v="2142500"/>
        <n v="7764400"/>
        <n v="231800"/>
        <n v="4747400"/>
        <n v="168100"/>
        <n v="36700"/>
        <n v="14793000"/>
        <n v="32364100"/>
        <n v="21291400"/>
        <n v="27064513.99"/>
        <n v="11873900"/>
        <n v="583500"/>
        <n v="83235"/>
        <n v="1049800"/>
        <n v="3052557.78"/>
      </sharedItems>
    </cacheField>
    <cacheField name="渠道类别" numFmtId="0">
      <sharedItems count="10">
        <s v="抖音"/>
        <s v="其他信息流"/>
        <s v="免费渠道"/>
        <s v="其他CPA渠道"/>
        <s v="MGM"/>
        <s v="付费商店"/>
        <s v="腾讯"/>
        <s v="其他"/>
        <s v="精准营销"/>
        <s v="API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47">
  <r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</r>
  <r>
    <x v="2"/>
    <x v="2"/>
    <x v="2"/>
    <x v="2"/>
    <x v="2"/>
    <x v="2"/>
    <x v="2"/>
    <x v="2"/>
    <x v="1"/>
  </r>
  <r>
    <x v="2"/>
    <x v="3"/>
    <x v="3"/>
    <x v="3"/>
    <x v="3"/>
    <x v="3"/>
    <x v="3"/>
    <x v="3"/>
    <x v="2"/>
  </r>
  <r>
    <x v="3"/>
    <x v="0"/>
    <x v="4"/>
    <x v="4"/>
    <x v="4"/>
    <x v="4"/>
    <x v="4"/>
    <x v="4"/>
    <x v="2"/>
  </r>
  <r>
    <x v="4"/>
    <x v="1"/>
    <x v="5"/>
    <x v="5"/>
    <x v="5"/>
    <x v="5"/>
    <x v="5"/>
    <x v="5"/>
    <x v="3"/>
  </r>
  <r>
    <x v="5"/>
    <x v="3"/>
    <x v="6"/>
    <x v="6"/>
    <x v="6"/>
    <x v="6"/>
    <x v="6"/>
    <x v="6"/>
    <x v="1"/>
  </r>
  <r>
    <x v="6"/>
    <x v="3"/>
    <x v="7"/>
    <x v="7"/>
    <x v="7"/>
    <x v="7"/>
    <x v="7"/>
    <x v="7"/>
    <x v="4"/>
  </r>
  <r>
    <x v="5"/>
    <x v="4"/>
    <x v="8"/>
    <x v="8"/>
    <x v="8"/>
    <x v="8"/>
    <x v="8"/>
    <x v="8"/>
    <x v="5"/>
  </r>
  <r>
    <x v="7"/>
    <x v="3"/>
    <x v="9"/>
    <x v="9"/>
    <x v="9"/>
    <x v="9"/>
    <x v="9"/>
    <x v="9"/>
    <x v="5"/>
  </r>
  <r>
    <x v="5"/>
    <x v="4"/>
    <x v="10"/>
    <x v="10"/>
    <x v="10"/>
    <x v="10"/>
    <x v="10"/>
    <x v="10"/>
    <x v="2"/>
  </r>
  <r>
    <x v="8"/>
    <x v="2"/>
    <x v="11"/>
    <x v="11"/>
    <x v="11"/>
    <x v="11"/>
    <x v="11"/>
    <x v="11"/>
    <x v="5"/>
  </r>
  <r>
    <x v="9"/>
    <x v="0"/>
    <x v="12"/>
    <x v="12"/>
    <x v="12"/>
    <x v="12"/>
    <x v="12"/>
    <x v="12"/>
    <x v="3"/>
  </r>
  <r>
    <x v="10"/>
    <x v="2"/>
    <x v="13"/>
    <x v="13"/>
    <x v="13"/>
    <x v="13"/>
    <x v="13"/>
    <x v="13"/>
    <x v="6"/>
  </r>
  <r>
    <x v="1"/>
    <x v="1"/>
    <x v="14"/>
    <x v="14"/>
    <x v="14"/>
    <x v="14"/>
    <x v="14"/>
    <x v="14"/>
    <x v="4"/>
  </r>
  <r>
    <x v="7"/>
    <x v="3"/>
    <x v="15"/>
    <x v="15"/>
    <x v="15"/>
    <x v="15"/>
    <x v="15"/>
    <x v="15"/>
    <x v="4"/>
  </r>
  <r>
    <x v="11"/>
    <x v="1"/>
    <x v="16"/>
    <x v="16"/>
    <x v="16"/>
    <x v="16"/>
    <x v="16"/>
    <x v="16"/>
    <x v="1"/>
  </r>
  <r>
    <x v="0"/>
    <x v="4"/>
    <x v="17"/>
    <x v="17"/>
    <x v="17"/>
    <x v="17"/>
    <x v="17"/>
    <x v="17"/>
    <x v="6"/>
  </r>
  <r>
    <x v="4"/>
    <x v="2"/>
    <x v="18"/>
    <x v="18"/>
    <x v="18"/>
    <x v="18"/>
    <x v="18"/>
    <x v="18"/>
    <x v="4"/>
  </r>
  <r>
    <x v="12"/>
    <x v="4"/>
    <x v="19"/>
    <x v="19"/>
    <x v="19"/>
    <x v="19"/>
    <x v="19"/>
    <x v="19"/>
    <x v="3"/>
  </r>
  <r>
    <x v="9"/>
    <x v="4"/>
    <x v="20"/>
    <x v="20"/>
    <x v="20"/>
    <x v="20"/>
    <x v="20"/>
    <x v="20"/>
    <x v="4"/>
  </r>
  <r>
    <x v="3"/>
    <x v="0"/>
    <x v="21"/>
    <x v="21"/>
    <x v="21"/>
    <x v="21"/>
    <x v="21"/>
    <x v="21"/>
    <x v="4"/>
  </r>
  <r>
    <x v="13"/>
    <x v="2"/>
    <x v="22"/>
    <x v="22"/>
    <x v="22"/>
    <x v="22"/>
    <x v="22"/>
    <x v="22"/>
    <x v="4"/>
  </r>
  <r>
    <x v="14"/>
    <x v="3"/>
    <x v="23"/>
    <x v="23"/>
    <x v="23"/>
    <x v="23"/>
    <x v="23"/>
    <x v="23"/>
    <x v="0"/>
  </r>
  <r>
    <x v="10"/>
    <x v="3"/>
    <x v="24"/>
    <x v="24"/>
    <x v="24"/>
    <x v="24"/>
    <x v="24"/>
    <x v="24"/>
    <x v="0"/>
  </r>
  <r>
    <x v="3"/>
    <x v="0"/>
    <x v="25"/>
    <x v="25"/>
    <x v="25"/>
    <x v="25"/>
    <x v="25"/>
    <x v="25"/>
    <x v="7"/>
  </r>
  <r>
    <x v="8"/>
    <x v="0"/>
    <x v="26"/>
    <x v="26"/>
    <x v="26"/>
    <x v="26"/>
    <x v="26"/>
    <x v="26"/>
    <x v="4"/>
  </r>
  <r>
    <x v="2"/>
    <x v="1"/>
    <x v="27"/>
    <x v="27"/>
    <x v="14"/>
    <x v="14"/>
    <x v="27"/>
    <x v="27"/>
    <x v="7"/>
  </r>
  <r>
    <x v="6"/>
    <x v="3"/>
    <x v="28"/>
    <x v="28"/>
    <x v="27"/>
    <x v="27"/>
    <x v="28"/>
    <x v="28"/>
    <x v="3"/>
  </r>
  <r>
    <x v="6"/>
    <x v="5"/>
    <x v="29"/>
    <x v="29"/>
    <x v="5"/>
    <x v="28"/>
    <x v="29"/>
    <x v="29"/>
    <x v="5"/>
  </r>
  <r>
    <x v="12"/>
    <x v="0"/>
    <x v="30"/>
    <x v="30"/>
    <x v="28"/>
    <x v="29"/>
    <x v="30"/>
    <x v="30"/>
    <x v="7"/>
  </r>
  <r>
    <x v="6"/>
    <x v="0"/>
    <x v="31"/>
    <x v="31"/>
    <x v="29"/>
    <x v="30"/>
    <x v="31"/>
    <x v="31"/>
    <x v="7"/>
  </r>
  <r>
    <x v="11"/>
    <x v="1"/>
    <x v="32"/>
    <x v="32"/>
    <x v="30"/>
    <x v="31"/>
    <x v="32"/>
    <x v="32"/>
    <x v="8"/>
  </r>
  <r>
    <x v="6"/>
    <x v="6"/>
    <x v="33"/>
    <x v="33"/>
    <x v="31"/>
    <x v="32"/>
    <x v="33"/>
    <x v="33"/>
    <x v="7"/>
  </r>
  <r>
    <x v="11"/>
    <x v="0"/>
    <x v="34"/>
    <x v="34"/>
    <x v="32"/>
    <x v="33"/>
    <x v="34"/>
    <x v="34"/>
    <x v="5"/>
  </r>
  <r>
    <x v="7"/>
    <x v="6"/>
    <x v="35"/>
    <x v="35"/>
    <x v="33"/>
    <x v="34"/>
    <x v="35"/>
    <x v="35"/>
    <x v="9"/>
  </r>
  <r>
    <x v="5"/>
    <x v="3"/>
    <x v="36"/>
    <x v="36"/>
    <x v="34"/>
    <x v="35"/>
    <x v="36"/>
    <x v="36"/>
    <x v="5"/>
  </r>
  <r>
    <x v="6"/>
    <x v="1"/>
    <x v="37"/>
    <x v="37"/>
    <x v="35"/>
    <x v="36"/>
    <x v="37"/>
    <x v="37"/>
    <x v="6"/>
  </r>
  <r>
    <x v="9"/>
    <x v="4"/>
    <x v="38"/>
    <x v="38"/>
    <x v="36"/>
    <x v="37"/>
    <x v="38"/>
    <x v="38"/>
    <x v="5"/>
  </r>
  <r>
    <x v="5"/>
    <x v="1"/>
    <x v="39"/>
    <x v="39"/>
    <x v="37"/>
    <x v="38"/>
    <x v="39"/>
    <x v="39"/>
    <x v="0"/>
  </r>
  <r>
    <x v="3"/>
    <x v="1"/>
    <x v="40"/>
    <x v="40"/>
    <x v="29"/>
    <x v="30"/>
    <x v="40"/>
    <x v="40"/>
    <x v="1"/>
  </r>
  <r>
    <x v="7"/>
    <x v="2"/>
    <x v="41"/>
    <x v="15"/>
    <x v="38"/>
    <x v="39"/>
    <x v="41"/>
    <x v="41"/>
    <x v="1"/>
  </r>
  <r>
    <x v="10"/>
    <x v="0"/>
    <x v="42"/>
    <x v="41"/>
    <x v="2"/>
    <x v="40"/>
    <x v="42"/>
    <x v="42"/>
    <x v="1"/>
  </r>
  <r>
    <x v="6"/>
    <x v="1"/>
    <x v="43"/>
    <x v="42"/>
    <x v="39"/>
    <x v="41"/>
    <x v="43"/>
    <x v="43"/>
    <x v="2"/>
  </r>
  <r>
    <x v="12"/>
    <x v="3"/>
    <x v="44"/>
    <x v="43"/>
    <x v="40"/>
    <x v="42"/>
    <x v="44"/>
    <x v="44"/>
    <x v="1"/>
  </r>
  <r>
    <x v="2"/>
    <x v="3"/>
    <x v="45"/>
    <x v="44"/>
    <x v="41"/>
    <x v="43"/>
    <x v="45"/>
    <x v="45"/>
    <x v="3"/>
  </r>
  <r>
    <x v="14"/>
    <x v="3"/>
    <x v="46"/>
    <x v="45"/>
    <x v="42"/>
    <x v="44"/>
    <x v="46"/>
    <x v="46"/>
    <x v="6"/>
  </r>
  <r>
    <x v="9"/>
    <x v="5"/>
    <x v="47"/>
    <x v="30"/>
    <x v="43"/>
    <x v="45"/>
    <x v="47"/>
    <x v="47"/>
    <x v="7"/>
  </r>
  <r>
    <x v="12"/>
    <x v="3"/>
    <x v="48"/>
    <x v="46"/>
    <x v="44"/>
    <x v="46"/>
    <x v="48"/>
    <x v="48"/>
    <x v="2"/>
  </r>
  <r>
    <x v="12"/>
    <x v="3"/>
    <x v="49"/>
    <x v="47"/>
    <x v="45"/>
    <x v="47"/>
    <x v="49"/>
    <x v="49"/>
    <x v="4"/>
  </r>
  <r>
    <x v="12"/>
    <x v="1"/>
    <x v="50"/>
    <x v="48"/>
    <x v="46"/>
    <x v="48"/>
    <x v="50"/>
    <x v="50"/>
    <x v="4"/>
  </r>
  <r>
    <x v="6"/>
    <x v="3"/>
    <x v="51"/>
    <x v="49"/>
    <x v="47"/>
    <x v="49"/>
    <x v="51"/>
    <x v="51"/>
    <x v="8"/>
  </r>
  <r>
    <x v="6"/>
    <x v="4"/>
    <x v="52"/>
    <x v="50"/>
    <x v="48"/>
    <x v="50"/>
    <x v="52"/>
    <x v="52"/>
    <x v="2"/>
  </r>
  <r>
    <x v="0"/>
    <x v="4"/>
    <x v="53"/>
    <x v="51"/>
    <x v="49"/>
    <x v="51"/>
    <x v="53"/>
    <x v="53"/>
    <x v="0"/>
  </r>
  <r>
    <x v="2"/>
    <x v="2"/>
    <x v="54"/>
    <x v="52"/>
    <x v="50"/>
    <x v="52"/>
    <x v="54"/>
    <x v="54"/>
    <x v="5"/>
  </r>
  <r>
    <x v="2"/>
    <x v="0"/>
    <x v="55"/>
    <x v="53"/>
    <x v="51"/>
    <x v="53"/>
    <x v="55"/>
    <x v="55"/>
    <x v="6"/>
  </r>
  <r>
    <x v="14"/>
    <x v="2"/>
    <x v="56"/>
    <x v="54"/>
    <x v="52"/>
    <x v="54"/>
    <x v="56"/>
    <x v="56"/>
    <x v="8"/>
  </r>
  <r>
    <x v="11"/>
    <x v="2"/>
    <x v="57"/>
    <x v="55"/>
    <x v="53"/>
    <x v="55"/>
    <x v="57"/>
    <x v="57"/>
    <x v="4"/>
  </r>
  <r>
    <x v="6"/>
    <x v="3"/>
    <x v="58"/>
    <x v="56"/>
    <x v="54"/>
    <x v="56"/>
    <x v="58"/>
    <x v="58"/>
    <x v="6"/>
  </r>
  <r>
    <x v="1"/>
    <x v="2"/>
    <x v="59"/>
    <x v="57"/>
    <x v="55"/>
    <x v="57"/>
    <x v="59"/>
    <x v="59"/>
    <x v="6"/>
  </r>
  <r>
    <x v="2"/>
    <x v="4"/>
    <x v="60"/>
    <x v="58"/>
    <x v="56"/>
    <x v="58"/>
    <x v="60"/>
    <x v="60"/>
    <x v="1"/>
  </r>
  <r>
    <x v="7"/>
    <x v="0"/>
    <x v="61"/>
    <x v="59"/>
    <x v="38"/>
    <x v="59"/>
    <x v="61"/>
    <x v="61"/>
    <x v="1"/>
  </r>
  <r>
    <x v="6"/>
    <x v="4"/>
    <x v="62"/>
    <x v="60"/>
    <x v="57"/>
    <x v="60"/>
    <x v="62"/>
    <x v="62"/>
    <x v="4"/>
  </r>
  <r>
    <x v="10"/>
    <x v="1"/>
    <x v="63"/>
    <x v="61"/>
    <x v="58"/>
    <x v="61"/>
    <x v="63"/>
    <x v="63"/>
    <x v="5"/>
  </r>
  <r>
    <x v="10"/>
    <x v="0"/>
    <x v="64"/>
    <x v="62"/>
    <x v="59"/>
    <x v="62"/>
    <x v="64"/>
    <x v="64"/>
    <x v="0"/>
  </r>
  <r>
    <x v="12"/>
    <x v="2"/>
    <x v="65"/>
    <x v="20"/>
    <x v="60"/>
    <x v="63"/>
    <x v="65"/>
    <x v="65"/>
    <x v="4"/>
  </r>
  <r>
    <x v="10"/>
    <x v="0"/>
    <x v="66"/>
    <x v="63"/>
    <x v="61"/>
    <x v="64"/>
    <x v="66"/>
    <x v="66"/>
    <x v="4"/>
  </r>
  <r>
    <x v="14"/>
    <x v="2"/>
    <x v="67"/>
    <x v="64"/>
    <x v="43"/>
    <x v="45"/>
    <x v="67"/>
    <x v="67"/>
    <x v="1"/>
  </r>
  <r>
    <x v="9"/>
    <x v="3"/>
    <x v="68"/>
    <x v="65"/>
    <x v="62"/>
    <x v="65"/>
    <x v="68"/>
    <x v="68"/>
    <x v="1"/>
  </r>
  <r>
    <x v="5"/>
    <x v="3"/>
    <x v="69"/>
    <x v="66"/>
    <x v="15"/>
    <x v="66"/>
    <x v="69"/>
    <x v="69"/>
    <x v="7"/>
  </r>
  <r>
    <x v="10"/>
    <x v="1"/>
    <x v="70"/>
    <x v="67"/>
    <x v="60"/>
    <x v="20"/>
    <x v="70"/>
    <x v="70"/>
    <x v="4"/>
  </r>
  <r>
    <x v="14"/>
    <x v="0"/>
    <x v="71"/>
    <x v="68"/>
    <x v="63"/>
    <x v="67"/>
    <x v="71"/>
    <x v="71"/>
    <x v="0"/>
  </r>
  <r>
    <x v="10"/>
    <x v="4"/>
    <x v="72"/>
    <x v="69"/>
    <x v="64"/>
    <x v="68"/>
    <x v="72"/>
    <x v="72"/>
    <x v="0"/>
  </r>
  <r>
    <x v="5"/>
    <x v="4"/>
    <x v="73"/>
    <x v="70"/>
    <x v="65"/>
    <x v="69"/>
    <x v="73"/>
    <x v="73"/>
    <x v="6"/>
  </r>
  <r>
    <x v="8"/>
    <x v="5"/>
    <x v="74"/>
    <x v="71"/>
    <x v="66"/>
    <x v="70"/>
    <x v="74"/>
    <x v="74"/>
    <x v="7"/>
  </r>
  <r>
    <x v="11"/>
    <x v="3"/>
    <x v="75"/>
    <x v="72"/>
    <x v="67"/>
    <x v="71"/>
    <x v="75"/>
    <x v="75"/>
    <x v="8"/>
  </r>
  <r>
    <x v="11"/>
    <x v="0"/>
    <x v="76"/>
    <x v="73"/>
    <x v="68"/>
    <x v="72"/>
    <x v="76"/>
    <x v="76"/>
    <x v="2"/>
  </r>
  <r>
    <x v="4"/>
    <x v="0"/>
    <x v="77"/>
    <x v="74"/>
    <x v="69"/>
    <x v="73"/>
    <x v="77"/>
    <x v="77"/>
    <x v="8"/>
  </r>
  <r>
    <x v="3"/>
    <x v="3"/>
    <x v="78"/>
    <x v="75"/>
    <x v="70"/>
    <x v="74"/>
    <x v="78"/>
    <x v="78"/>
    <x v="7"/>
  </r>
  <r>
    <x v="12"/>
    <x v="3"/>
    <x v="79"/>
    <x v="76"/>
    <x v="71"/>
    <x v="75"/>
    <x v="79"/>
    <x v="79"/>
    <x v="9"/>
  </r>
  <r>
    <x v="6"/>
    <x v="2"/>
    <x v="80"/>
    <x v="77"/>
    <x v="72"/>
    <x v="76"/>
    <x v="80"/>
    <x v="80"/>
    <x v="4"/>
  </r>
  <r>
    <x v="14"/>
    <x v="1"/>
    <x v="81"/>
    <x v="78"/>
    <x v="31"/>
    <x v="32"/>
    <x v="81"/>
    <x v="81"/>
    <x v="8"/>
  </r>
  <r>
    <x v="3"/>
    <x v="5"/>
    <x v="82"/>
    <x v="79"/>
    <x v="58"/>
    <x v="76"/>
    <x v="82"/>
    <x v="82"/>
    <x v="7"/>
  </r>
  <r>
    <x v="3"/>
    <x v="4"/>
    <x v="83"/>
    <x v="80"/>
    <x v="73"/>
    <x v="77"/>
    <x v="83"/>
    <x v="83"/>
    <x v="4"/>
  </r>
  <r>
    <x v="8"/>
    <x v="4"/>
    <x v="84"/>
    <x v="78"/>
    <x v="31"/>
    <x v="32"/>
    <x v="84"/>
    <x v="84"/>
    <x v="7"/>
  </r>
  <r>
    <x v="12"/>
    <x v="3"/>
    <x v="85"/>
    <x v="81"/>
    <x v="74"/>
    <x v="78"/>
    <x v="85"/>
    <x v="85"/>
    <x v="5"/>
  </r>
  <r>
    <x v="9"/>
    <x v="1"/>
    <x v="86"/>
    <x v="82"/>
    <x v="75"/>
    <x v="79"/>
    <x v="86"/>
    <x v="86"/>
    <x v="0"/>
  </r>
  <r>
    <x v="5"/>
    <x v="2"/>
    <x v="87"/>
    <x v="71"/>
    <x v="76"/>
    <x v="80"/>
    <x v="87"/>
    <x v="87"/>
    <x v="4"/>
  </r>
  <r>
    <x v="13"/>
    <x v="2"/>
    <x v="88"/>
    <x v="83"/>
    <x v="77"/>
    <x v="81"/>
    <x v="88"/>
    <x v="88"/>
    <x v="8"/>
  </r>
  <r>
    <x v="0"/>
    <x v="1"/>
    <x v="89"/>
    <x v="84"/>
    <x v="78"/>
    <x v="82"/>
    <x v="89"/>
    <x v="89"/>
    <x v="7"/>
  </r>
  <r>
    <x v="4"/>
    <x v="1"/>
    <x v="90"/>
    <x v="27"/>
    <x v="60"/>
    <x v="63"/>
    <x v="90"/>
    <x v="90"/>
    <x v="4"/>
  </r>
  <r>
    <x v="3"/>
    <x v="1"/>
    <x v="91"/>
    <x v="85"/>
    <x v="79"/>
    <x v="83"/>
    <x v="91"/>
    <x v="91"/>
    <x v="2"/>
  </r>
  <r>
    <x v="12"/>
    <x v="3"/>
    <x v="92"/>
    <x v="86"/>
    <x v="80"/>
    <x v="84"/>
    <x v="92"/>
    <x v="92"/>
    <x v="0"/>
  </r>
  <r>
    <x v="3"/>
    <x v="3"/>
    <x v="93"/>
    <x v="87"/>
    <x v="81"/>
    <x v="85"/>
    <x v="93"/>
    <x v="93"/>
    <x v="2"/>
  </r>
  <r>
    <x v="5"/>
    <x v="4"/>
    <x v="94"/>
    <x v="88"/>
    <x v="82"/>
    <x v="86"/>
    <x v="94"/>
    <x v="94"/>
    <x v="0"/>
  </r>
  <r>
    <x v="11"/>
    <x v="4"/>
    <x v="95"/>
    <x v="33"/>
    <x v="83"/>
    <x v="87"/>
    <x v="95"/>
    <x v="95"/>
    <x v="4"/>
  </r>
  <r>
    <x v="5"/>
    <x v="3"/>
    <x v="96"/>
    <x v="89"/>
    <x v="84"/>
    <x v="88"/>
    <x v="96"/>
    <x v="96"/>
    <x v="4"/>
  </r>
  <r>
    <x v="13"/>
    <x v="2"/>
    <x v="97"/>
    <x v="90"/>
    <x v="85"/>
    <x v="89"/>
    <x v="97"/>
    <x v="97"/>
    <x v="2"/>
  </r>
  <r>
    <x v="8"/>
    <x v="2"/>
    <x v="98"/>
    <x v="91"/>
    <x v="86"/>
    <x v="90"/>
    <x v="98"/>
    <x v="98"/>
    <x v="3"/>
  </r>
  <r>
    <x v="7"/>
    <x v="1"/>
    <x v="99"/>
    <x v="92"/>
    <x v="87"/>
    <x v="91"/>
    <x v="99"/>
    <x v="99"/>
    <x v="5"/>
  </r>
  <r>
    <x v="9"/>
    <x v="4"/>
    <x v="100"/>
    <x v="93"/>
    <x v="88"/>
    <x v="92"/>
    <x v="100"/>
    <x v="100"/>
    <x v="3"/>
  </r>
  <r>
    <x v="8"/>
    <x v="4"/>
    <x v="101"/>
    <x v="94"/>
    <x v="89"/>
    <x v="93"/>
    <x v="101"/>
    <x v="101"/>
    <x v="3"/>
  </r>
  <r>
    <x v="5"/>
    <x v="3"/>
    <x v="102"/>
    <x v="95"/>
    <x v="90"/>
    <x v="94"/>
    <x v="102"/>
    <x v="102"/>
    <x v="0"/>
  </r>
  <r>
    <x v="11"/>
    <x v="2"/>
    <x v="103"/>
    <x v="96"/>
    <x v="91"/>
    <x v="95"/>
    <x v="103"/>
    <x v="103"/>
    <x v="8"/>
  </r>
  <r>
    <x v="13"/>
    <x v="2"/>
    <x v="104"/>
    <x v="97"/>
    <x v="92"/>
    <x v="96"/>
    <x v="104"/>
    <x v="104"/>
    <x v="6"/>
  </r>
  <r>
    <x v="9"/>
    <x v="1"/>
    <x v="105"/>
    <x v="98"/>
    <x v="93"/>
    <x v="97"/>
    <x v="105"/>
    <x v="105"/>
    <x v="8"/>
  </r>
  <r>
    <x v="5"/>
    <x v="2"/>
    <x v="106"/>
    <x v="99"/>
    <x v="94"/>
    <x v="98"/>
    <x v="106"/>
    <x v="106"/>
    <x v="0"/>
  </r>
  <r>
    <x v="8"/>
    <x v="4"/>
    <x v="107"/>
    <x v="100"/>
    <x v="95"/>
    <x v="99"/>
    <x v="107"/>
    <x v="107"/>
    <x v="5"/>
  </r>
  <r>
    <x v="8"/>
    <x v="3"/>
    <x v="108"/>
    <x v="101"/>
    <x v="96"/>
    <x v="60"/>
    <x v="108"/>
    <x v="108"/>
    <x v="4"/>
  </r>
  <r>
    <x v="3"/>
    <x v="3"/>
    <x v="109"/>
    <x v="102"/>
    <x v="97"/>
    <x v="100"/>
    <x v="109"/>
    <x v="109"/>
    <x v="0"/>
  </r>
  <r>
    <x v="0"/>
    <x v="0"/>
    <x v="110"/>
    <x v="103"/>
    <x v="98"/>
    <x v="101"/>
    <x v="110"/>
    <x v="110"/>
    <x v="3"/>
  </r>
  <r>
    <x v="0"/>
    <x v="3"/>
    <x v="111"/>
    <x v="104"/>
    <x v="99"/>
    <x v="102"/>
    <x v="111"/>
    <x v="111"/>
    <x v="7"/>
  </r>
  <r>
    <x v="1"/>
    <x v="2"/>
    <x v="112"/>
    <x v="105"/>
    <x v="100"/>
    <x v="103"/>
    <x v="112"/>
    <x v="112"/>
    <x v="2"/>
  </r>
  <r>
    <x v="13"/>
    <x v="3"/>
    <x v="113"/>
    <x v="58"/>
    <x v="101"/>
    <x v="104"/>
    <x v="113"/>
    <x v="113"/>
    <x v="4"/>
  </r>
  <r>
    <x v="10"/>
    <x v="0"/>
    <x v="114"/>
    <x v="106"/>
    <x v="102"/>
    <x v="105"/>
    <x v="114"/>
    <x v="114"/>
    <x v="5"/>
  </r>
  <r>
    <x v="4"/>
    <x v="0"/>
    <x v="115"/>
    <x v="107"/>
    <x v="103"/>
    <x v="106"/>
    <x v="115"/>
    <x v="115"/>
    <x v="2"/>
  </r>
  <r>
    <x v="10"/>
    <x v="3"/>
    <x v="116"/>
    <x v="108"/>
    <x v="104"/>
    <x v="107"/>
    <x v="116"/>
    <x v="116"/>
    <x v="5"/>
  </r>
  <r>
    <x v="10"/>
    <x v="4"/>
    <x v="117"/>
    <x v="109"/>
    <x v="105"/>
    <x v="108"/>
    <x v="117"/>
    <x v="117"/>
    <x v="1"/>
  </r>
  <r>
    <x v="4"/>
    <x v="1"/>
    <x v="118"/>
    <x v="20"/>
    <x v="28"/>
    <x v="29"/>
    <x v="118"/>
    <x v="118"/>
    <x v="7"/>
  </r>
  <r>
    <x v="5"/>
    <x v="0"/>
    <x v="119"/>
    <x v="110"/>
    <x v="106"/>
    <x v="109"/>
    <x v="119"/>
    <x v="119"/>
    <x v="5"/>
  </r>
  <r>
    <x v="6"/>
    <x v="3"/>
    <x v="120"/>
    <x v="111"/>
    <x v="107"/>
    <x v="110"/>
    <x v="120"/>
    <x v="120"/>
    <x v="0"/>
  </r>
  <r>
    <x v="12"/>
    <x v="2"/>
    <x v="121"/>
    <x v="112"/>
    <x v="108"/>
    <x v="111"/>
    <x v="121"/>
    <x v="121"/>
    <x v="1"/>
  </r>
  <r>
    <x v="14"/>
    <x v="3"/>
    <x v="122"/>
    <x v="67"/>
    <x v="109"/>
    <x v="112"/>
    <x v="122"/>
    <x v="122"/>
    <x v="7"/>
  </r>
  <r>
    <x v="4"/>
    <x v="4"/>
    <x v="123"/>
    <x v="113"/>
    <x v="110"/>
    <x v="113"/>
    <x v="123"/>
    <x v="123"/>
    <x v="2"/>
  </r>
  <r>
    <x v="5"/>
    <x v="0"/>
    <x v="124"/>
    <x v="114"/>
    <x v="111"/>
    <x v="114"/>
    <x v="124"/>
    <x v="124"/>
    <x v="4"/>
  </r>
  <r>
    <x v="13"/>
    <x v="3"/>
    <x v="125"/>
    <x v="115"/>
    <x v="112"/>
    <x v="115"/>
    <x v="125"/>
    <x v="125"/>
    <x v="6"/>
  </r>
  <r>
    <x v="12"/>
    <x v="1"/>
    <x v="126"/>
    <x v="116"/>
    <x v="25"/>
    <x v="45"/>
    <x v="126"/>
    <x v="126"/>
    <x v="8"/>
  </r>
  <r>
    <x v="9"/>
    <x v="2"/>
    <x v="127"/>
    <x v="117"/>
    <x v="86"/>
    <x v="116"/>
    <x v="127"/>
    <x v="127"/>
    <x v="3"/>
  </r>
  <r>
    <x v="3"/>
    <x v="4"/>
    <x v="128"/>
    <x v="118"/>
    <x v="113"/>
    <x v="117"/>
    <x v="128"/>
    <x v="128"/>
    <x v="8"/>
  </r>
  <r>
    <x v="1"/>
    <x v="1"/>
    <x v="129"/>
    <x v="5"/>
    <x v="66"/>
    <x v="70"/>
    <x v="129"/>
    <x v="129"/>
    <x v="6"/>
  </r>
  <r>
    <x v="13"/>
    <x v="3"/>
    <x v="130"/>
    <x v="119"/>
    <x v="114"/>
    <x v="118"/>
    <x v="130"/>
    <x v="130"/>
    <x v="9"/>
  </r>
  <r>
    <x v="5"/>
    <x v="0"/>
    <x v="131"/>
    <x v="120"/>
    <x v="115"/>
    <x v="119"/>
    <x v="131"/>
    <x v="131"/>
    <x v="2"/>
  </r>
  <r>
    <x v="13"/>
    <x v="5"/>
    <x v="132"/>
    <x v="25"/>
    <x v="29"/>
    <x v="120"/>
    <x v="132"/>
    <x v="132"/>
    <x v="5"/>
  </r>
  <r>
    <x v="1"/>
    <x v="4"/>
    <x v="133"/>
    <x v="121"/>
    <x v="116"/>
    <x v="121"/>
    <x v="133"/>
    <x v="133"/>
    <x v="2"/>
  </r>
  <r>
    <x v="8"/>
    <x v="2"/>
    <x v="134"/>
    <x v="122"/>
    <x v="117"/>
    <x v="122"/>
    <x v="134"/>
    <x v="134"/>
    <x v="7"/>
  </r>
  <r>
    <x v="5"/>
    <x v="2"/>
    <x v="135"/>
    <x v="123"/>
    <x v="118"/>
    <x v="123"/>
    <x v="135"/>
    <x v="135"/>
    <x v="6"/>
  </r>
  <r>
    <x v="0"/>
    <x v="2"/>
    <x v="136"/>
    <x v="124"/>
    <x v="119"/>
    <x v="124"/>
    <x v="136"/>
    <x v="136"/>
    <x v="8"/>
  </r>
  <r>
    <x v="7"/>
    <x v="5"/>
    <x v="137"/>
    <x v="125"/>
    <x v="120"/>
    <x v="125"/>
    <x v="137"/>
    <x v="137"/>
    <x v="5"/>
  </r>
  <r>
    <x v="12"/>
    <x v="6"/>
    <x v="138"/>
    <x v="126"/>
    <x v="121"/>
    <x v="48"/>
    <x v="138"/>
    <x v="50"/>
    <x v="7"/>
  </r>
  <r>
    <x v="8"/>
    <x v="1"/>
    <x v="139"/>
    <x v="127"/>
    <x v="122"/>
    <x v="126"/>
    <x v="139"/>
    <x v="138"/>
    <x v="9"/>
  </r>
  <r>
    <x v="0"/>
    <x v="3"/>
    <x v="140"/>
    <x v="128"/>
    <x v="123"/>
    <x v="127"/>
    <x v="140"/>
    <x v="139"/>
    <x v="4"/>
  </r>
  <r>
    <x v="14"/>
    <x v="1"/>
    <x v="141"/>
    <x v="48"/>
    <x v="46"/>
    <x v="48"/>
    <x v="141"/>
    <x v="50"/>
    <x v="7"/>
  </r>
  <r>
    <x v="2"/>
    <x v="0"/>
    <x v="142"/>
    <x v="129"/>
    <x v="124"/>
    <x v="128"/>
    <x v="142"/>
    <x v="140"/>
    <x v="3"/>
  </r>
  <r>
    <x v="13"/>
    <x v="1"/>
    <x v="143"/>
    <x v="130"/>
    <x v="93"/>
    <x v="97"/>
    <x v="143"/>
    <x v="141"/>
    <x v="0"/>
  </r>
  <r>
    <x v="12"/>
    <x v="0"/>
    <x v="144"/>
    <x v="131"/>
    <x v="125"/>
    <x v="129"/>
    <x v="144"/>
    <x v="142"/>
    <x v="0"/>
  </r>
  <r>
    <x v="4"/>
    <x v="1"/>
    <x v="145"/>
    <x v="132"/>
    <x v="126"/>
    <x v="130"/>
    <x v="145"/>
    <x v="143"/>
    <x v="8"/>
  </r>
  <r>
    <x v="1"/>
    <x v="0"/>
    <x v="146"/>
    <x v="133"/>
    <x v="127"/>
    <x v="131"/>
    <x v="146"/>
    <x v="144"/>
    <x v="4"/>
  </r>
  <r>
    <x v="7"/>
    <x v="4"/>
    <x v="147"/>
    <x v="134"/>
    <x v="128"/>
    <x v="132"/>
    <x v="147"/>
    <x v="145"/>
    <x v="6"/>
  </r>
  <r>
    <x v="3"/>
    <x v="1"/>
    <x v="148"/>
    <x v="135"/>
    <x v="43"/>
    <x v="133"/>
    <x v="148"/>
    <x v="146"/>
    <x v="7"/>
  </r>
  <r>
    <x v="12"/>
    <x v="1"/>
    <x v="149"/>
    <x v="136"/>
    <x v="31"/>
    <x v="32"/>
    <x v="149"/>
    <x v="147"/>
    <x v="9"/>
  </r>
  <r>
    <x v="9"/>
    <x v="2"/>
    <x v="150"/>
    <x v="137"/>
    <x v="129"/>
    <x v="134"/>
    <x v="150"/>
    <x v="148"/>
    <x v="0"/>
  </r>
  <r>
    <x v="8"/>
    <x v="4"/>
    <x v="151"/>
    <x v="138"/>
    <x v="130"/>
    <x v="135"/>
    <x v="151"/>
    <x v="149"/>
    <x v="8"/>
  </r>
  <r>
    <x v="8"/>
    <x v="4"/>
    <x v="152"/>
    <x v="139"/>
    <x v="131"/>
    <x v="136"/>
    <x v="152"/>
    <x v="150"/>
    <x v="4"/>
  </r>
  <r>
    <x v="0"/>
    <x v="0"/>
    <x v="153"/>
    <x v="140"/>
    <x v="132"/>
    <x v="137"/>
    <x v="153"/>
    <x v="151"/>
    <x v="8"/>
  </r>
  <r>
    <x v="14"/>
    <x v="0"/>
    <x v="154"/>
    <x v="141"/>
    <x v="133"/>
    <x v="138"/>
    <x v="154"/>
    <x v="152"/>
    <x v="2"/>
  </r>
  <r>
    <x v="13"/>
    <x v="2"/>
    <x v="155"/>
    <x v="142"/>
    <x v="134"/>
    <x v="139"/>
    <x v="155"/>
    <x v="153"/>
    <x v="5"/>
  </r>
  <r>
    <x v="1"/>
    <x v="2"/>
    <x v="156"/>
    <x v="143"/>
    <x v="135"/>
    <x v="40"/>
    <x v="156"/>
    <x v="154"/>
    <x v="1"/>
  </r>
  <r>
    <x v="11"/>
    <x v="6"/>
    <x v="157"/>
    <x v="144"/>
    <x v="28"/>
    <x v="29"/>
    <x v="157"/>
    <x v="155"/>
    <x v="7"/>
  </r>
  <r>
    <x v="14"/>
    <x v="1"/>
    <x v="158"/>
    <x v="78"/>
    <x v="31"/>
    <x v="32"/>
    <x v="158"/>
    <x v="156"/>
    <x v="2"/>
  </r>
  <r>
    <x v="14"/>
    <x v="1"/>
    <x v="159"/>
    <x v="145"/>
    <x v="121"/>
    <x v="48"/>
    <x v="159"/>
    <x v="50"/>
    <x v="3"/>
  </r>
  <r>
    <x v="11"/>
    <x v="4"/>
    <x v="160"/>
    <x v="146"/>
    <x v="136"/>
    <x v="140"/>
    <x v="160"/>
    <x v="157"/>
    <x v="0"/>
  </r>
  <r>
    <x v="2"/>
    <x v="0"/>
    <x v="161"/>
    <x v="147"/>
    <x v="137"/>
    <x v="141"/>
    <x v="161"/>
    <x v="158"/>
    <x v="5"/>
  </r>
  <r>
    <x v="12"/>
    <x v="4"/>
    <x v="162"/>
    <x v="148"/>
    <x v="138"/>
    <x v="142"/>
    <x v="162"/>
    <x v="159"/>
    <x v="8"/>
  </r>
  <r>
    <x v="11"/>
    <x v="4"/>
    <x v="163"/>
    <x v="149"/>
    <x v="139"/>
    <x v="143"/>
    <x v="163"/>
    <x v="160"/>
    <x v="2"/>
  </r>
  <r>
    <x v="13"/>
    <x v="3"/>
    <x v="164"/>
    <x v="150"/>
    <x v="140"/>
    <x v="144"/>
    <x v="164"/>
    <x v="161"/>
    <x v="1"/>
  </r>
  <r>
    <x v="3"/>
    <x v="0"/>
    <x v="165"/>
    <x v="151"/>
    <x v="141"/>
    <x v="39"/>
    <x v="165"/>
    <x v="162"/>
    <x v="1"/>
  </r>
  <r>
    <x v="12"/>
    <x v="0"/>
    <x v="166"/>
    <x v="152"/>
    <x v="142"/>
    <x v="114"/>
    <x v="166"/>
    <x v="163"/>
    <x v="3"/>
  </r>
  <r>
    <x v="9"/>
    <x v="3"/>
    <x v="167"/>
    <x v="153"/>
    <x v="143"/>
    <x v="145"/>
    <x v="167"/>
    <x v="164"/>
    <x v="7"/>
  </r>
  <r>
    <x v="6"/>
    <x v="1"/>
    <x v="168"/>
    <x v="154"/>
    <x v="144"/>
    <x v="26"/>
    <x v="168"/>
    <x v="165"/>
    <x v="0"/>
  </r>
  <r>
    <x v="6"/>
    <x v="3"/>
    <x v="169"/>
    <x v="117"/>
    <x v="145"/>
    <x v="146"/>
    <x v="169"/>
    <x v="166"/>
    <x v="7"/>
  </r>
  <r>
    <x v="13"/>
    <x v="0"/>
    <x v="170"/>
    <x v="155"/>
    <x v="146"/>
    <x v="147"/>
    <x v="170"/>
    <x v="167"/>
    <x v="8"/>
  </r>
  <r>
    <x v="7"/>
    <x v="0"/>
    <x v="171"/>
    <x v="156"/>
    <x v="147"/>
    <x v="148"/>
    <x v="171"/>
    <x v="168"/>
    <x v="0"/>
  </r>
  <r>
    <x v="9"/>
    <x v="0"/>
    <x v="172"/>
    <x v="157"/>
    <x v="148"/>
    <x v="149"/>
    <x v="172"/>
    <x v="169"/>
    <x v="5"/>
  </r>
  <r>
    <x v="13"/>
    <x v="0"/>
    <x v="173"/>
    <x v="158"/>
    <x v="149"/>
    <x v="150"/>
    <x v="173"/>
    <x v="170"/>
    <x v="0"/>
  </r>
  <r>
    <x v="7"/>
    <x v="0"/>
    <x v="174"/>
    <x v="71"/>
    <x v="150"/>
    <x v="16"/>
    <x v="174"/>
    <x v="171"/>
    <x v="7"/>
  </r>
  <r>
    <x v="2"/>
    <x v="2"/>
    <x v="175"/>
    <x v="159"/>
    <x v="151"/>
    <x v="151"/>
    <x v="175"/>
    <x v="172"/>
    <x v="6"/>
  </r>
  <r>
    <x v="9"/>
    <x v="3"/>
    <x v="176"/>
    <x v="160"/>
    <x v="152"/>
    <x v="152"/>
    <x v="176"/>
    <x v="173"/>
    <x v="5"/>
  </r>
  <r>
    <x v="4"/>
    <x v="4"/>
    <x v="177"/>
    <x v="161"/>
    <x v="153"/>
    <x v="153"/>
    <x v="177"/>
    <x v="174"/>
    <x v="5"/>
  </r>
  <r>
    <x v="5"/>
    <x v="0"/>
    <x v="178"/>
    <x v="162"/>
    <x v="42"/>
    <x v="154"/>
    <x v="178"/>
    <x v="175"/>
    <x v="7"/>
  </r>
  <r>
    <x v="8"/>
    <x v="2"/>
    <x v="179"/>
    <x v="163"/>
    <x v="154"/>
    <x v="155"/>
    <x v="179"/>
    <x v="176"/>
    <x v="6"/>
  </r>
  <r>
    <x v="0"/>
    <x v="4"/>
    <x v="180"/>
    <x v="164"/>
    <x v="155"/>
    <x v="156"/>
    <x v="180"/>
    <x v="177"/>
    <x v="8"/>
  </r>
  <r>
    <x v="0"/>
    <x v="3"/>
    <x v="181"/>
    <x v="165"/>
    <x v="156"/>
    <x v="157"/>
    <x v="181"/>
    <x v="178"/>
    <x v="8"/>
  </r>
  <r>
    <x v="7"/>
    <x v="3"/>
    <x v="182"/>
    <x v="166"/>
    <x v="157"/>
    <x v="158"/>
    <x v="182"/>
    <x v="179"/>
    <x v="2"/>
  </r>
  <r>
    <x v="14"/>
    <x v="3"/>
    <x v="183"/>
    <x v="122"/>
    <x v="158"/>
    <x v="23"/>
    <x v="183"/>
    <x v="180"/>
    <x v="3"/>
  </r>
  <r>
    <x v="7"/>
    <x v="4"/>
    <x v="184"/>
    <x v="167"/>
    <x v="159"/>
    <x v="159"/>
    <x v="184"/>
    <x v="181"/>
    <x v="5"/>
  </r>
  <r>
    <x v="9"/>
    <x v="4"/>
    <x v="185"/>
    <x v="168"/>
    <x v="160"/>
    <x v="160"/>
    <x v="185"/>
    <x v="182"/>
    <x v="1"/>
  </r>
  <r>
    <x v="9"/>
    <x v="1"/>
    <x v="186"/>
    <x v="169"/>
    <x v="78"/>
    <x v="82"/>
    <x v="186"/>
    <x v="183"/>
    <x v="1"/>
  </r>
  <r>
    <x v="8"/>
    <x v="1"/>
    <x v="187"/>
    <x v="170"/>
    <x v="161"/>
    <x v="44"/>
    <x v="187"/>
    <x v="184"/>
    <x v="1"/>
  </r>
  <r>
    <x v="2"/>
    <x v="4"/>
    <x v="188"/>
    <x v="171"/>
    <x v="162"/>
    <x v="161"/>
    <x v="188"/>
    <x v="185"/>
    <x v="0"/>
  </r>
  <r>
    <x v="6"/>
    <x v="3"/>
    <x v="189"/>
    <x v="172"/>
    <x v="163"/>
    <x v="162"/>
    <x v="189"/>
    <x v="186"/>
    <x v="2"/>
  </r>
  <r>
    <x v="8"/>
    <x v="3"/>
    <x v="190"/>
    <x v="173"/>
    <x v="164"/>
    <x v="163"/>
    <x v="190"/>
    <x v="187"/>
    <x v="9"/>
  </r>
  <r>
    <x v="7"/>
    <x v="0"/>
    <x v="191"/>
    <x v="174"/>
    <x v="165"/>
    <x v="164"/>
    <x v="191"/>
    <x v="188"/>
    <x v="8"/>
  </r>
  <r>
    <x v="4"/>
    <x v="0"/>
    <x v="192"/>
    <x v="175"/>
    <x v="166"/>
    <x v="165"/>
    <x v="192"/>
    <x v="189"/>
    <x v="3"/>
  </r>
  <r>
    <x v="14"/>
    <x v="2"/>
    <x v="193"/>
    <x v="176"/>
    <x v="167"/>
    <x v="133"/>
    <x v="193"/>
    <x v="190"/>
    <x v="3"/>
  </r>
  <r>
    <x v="9"/>
    <x v="3"/>
    <x v="194"/>
    <x v="177"/>
    <x v="168"/>
    <x v="166"/>
    <x v="194"/>
    <x v="191"/>
    <x v="6"/>
  </r>
  <r>
    <x v="7"/>
    <x v="2"/>
    <x v="195"/>
    <x v="178"/>
    <x v="169"/>
    <x v="167"/>
    <x v="195"/>
    <x v="192"/>
    <x v="2"/>
  </r>
  <r>
    <x v="12"/>
    <x v="2"/>
    <x v="196"/>
    <x v="179"/>
    <x v="170"/>
    <x v="168"/>
    <x v="196"/>
    <x v="193"/>
    <x v="8"/>
  </r>
  <r>
    <x v="6"/>
    <x v="4"/>
    <x v="197"/>
    <x v="180"/>
    <x v="171"/>
    <x v="169"/>
    <x v="197"/>
    <x v="194"/>
    <x v="8"/>
  </r>
  <r>
    <x v="0"/>
    <x v="0"/>
    <x v="198"/>
    <x v="181"/>
    <x v="172"/>
    <x v="170"/>
    <x v="198"/>
    <x v="195"/>
    <x v="1"/>
  </r>
  <r>
    <x v="9"/>
    <x v="0"/>
    <x v="199"/>
    <x v="76"/>
    <x v="173"/>
    <x v="171"/>
    <x v="199"/>
    <x v="196"/>
    <x v="1"/>
  </r>
  <r>
    <x v="9"/>
    <x v="4"/>
    <x v="200"/>
    <x v="182"/>
    <x v="174"/>
    <x v="172"/>
    <x v="200"/>
    <x v="197"/>
    <x v="8"/>
  </r>
  <r>
    <x v="9"/>
    <x v="2"/>
    <x v="201"/>
    <x v="183"/>
    <x v="175"/>
    <x v="173"/>
    <x v="201"/>
    <x v="198"/>
    <x v="1"/>
  </r>
  <r>
    <x v="4"/>
    <x v="0"/>
    <x v="202"/>
    <x v="184"/>
    <x v="176"/>
    <x v="174"/>
    <x v="202"/>
    <x v="199"/>
    <x v="0"/>
  </r>
  <r>
    <x v="2"/>
    <x v="2"/>
    <x v="138"/>
    <x v="18"/>
    <x v="177"/>
    <x v="47"/>
    <x v="203"/>
    <x v="200"/>
    <x v="4"/>
  </r>
  <r>
    <x v="1"/>
    <x v="4"/>
    <x v="203"/>
    <x v="185"/>
    <x v="178"/>
    <x v="175"/>
    <x v="204"/>
    <x v="201"/>
    <x v="8"/>
  </r>
  <r>
    <x v="10"/>
    <x v="3"/>
    <x v="204"/>
    <x v="186"/>
    <x v="179"/>
    <x v="176"/>
    <x v="205"/>
    <x v="202"/>
    <x v="8"/>
  </r>
  <r>
    <x v="4"/>
    <x v="1"/>
    <x v="205"/>
    <x v="187"/>
    <x v="180"/>
    <x v="177"/>
    <x v="206"/>
    <x v="203"/>
    <x v="0"/>
  </r>
  <r>
    <x v="14"/>
    <x v="2"/>
    <x v="206"/>
    <x v="188"/>
    <x v="29"/>
    <x v="120"/>
    <x v="207"/>
    <x v="204"/>
    <x v="5"/>
  </r>
  <r>
    <x v="5"/>
    <x v="0"/>
    <x v="207"/>
    <x v="123"/>
    <x v="181"/>
    <x v="178"/>
    <x v="208"/>
    <x v="205"/>
    <x v="8"/>
  </r>
  <r>
    <x v="1"/>
    <x v="3"/>
    <x v="208"/>
    <x v="189"/>
    <x v="182"/>
    <x v="179"/>
    <x v="209"/>
    <x v="206"/>
    <x v="1"/>
  </r>
  <r>
    <x v="7"/>
    <x v="2"/>
    <x v="209"/>
    <x v="190"/>
    <x v="183"/>
    <x v="180"/>
    <x v="210"/>
    <x v="207"/>
    <x v="5"/>
  </r>
  <r>
    <x v="5"/>
    <x v="1"/>
    <x v="210"/>
    <x v="191"/>
    <x v="184"/>
    <x v="181"/>
    <x v="211"/>
    <x v="208"/>
    <x v="2"/>
  </r>
  <r>
    <x v="1"/>
    <x v="2"/>
    <x v="211"/>
    <x v="192"/>
    <x v="185"/>
    <x v="182"/>
    <x v="212"/>
    <x v="209"/>
    <x v="0"/>
  </r>
  <r>
    <x v="0"/>
    <x v="4"/>
    <x v="212"/>
    <x v="193"/>
    <x v="186"/>
    <x v="183"/>
    <x v="213"/>
    <x v="210"/>
    <x v="1"/>
  </r>
  <r>
    <x v="4"/>
    <x v="4"/>
    <x v="213"/>
    <x v="194"/>
    <x v="131"/>
    <x v="184"/>
    <x v="214"/>
    <x v="211"/>
    <x v="4"/>
  </r>
  <r>
    <x v="4"/>
    <x v="0"/>
    <x v="214"/>
    <x v="195"/>
    <x v="187"/>
    <x v="185"/>
    <x v="215"/>
    <x v="212"/>
    <x v="1"/>
  </r>
  <r>
    <x v="1"/>
    <x v="6"/>
    <x v="215"/>
    <x v="196"/>
    <x v="188"/>
    <x v="186"/>
    <x v="216"/>
    <x v="213"/>
    <x v="9"/>
  </r>
  <r>
    <x v="14"/>
    <x v="1"/>
    <x v="216"/>
    <x v="145"/>
    <x v="121"/>
    <x v="48"/>
    <x v="217"/>
    <x v="50"/>
    <x v="9"/>
  </r>
  <r>
    <x v="0"/>
    <x v="2"/>
    <x v="217"/>
    <x v="197"/>
    <x v="189"/>
    <x v="187"/>
    <x v="218"/>
    <x v="214"/>
    <x v="6"/>
  </r>
  <r>
    <x v="0"/>
    <x v="2"/>
    <x v="218"/>
    <x v="40"/>
    <x v="72"/>
    <x v="188"/>
    <x v="219"/>
    <x v="215"/>
    <x v="7"/>
  </r>
  <r>
    <x v="9"/>
    <x v="1"/>
    <x v="219"/>
    <x v="20"/>
    <x v="28"/>
    <x v="29"/>
    <x v="220"/>
    <x v="216"/>
    <x v="7"/>
  </r>
  <r>
    <x v="12"/>
    <x v="0"/>
    <x v="220"/>
    <x v="198"/>
    <x v="190"/>
    <x v="189"/>
    <x v="221"/>
    <x v="217"/>
    <x v="2"/>
  </r>
  <r>
    <x v="4"/>
    <x v="2"/>
    <x v="221"/>
    <x v="199"/>
    <x v="30"/>
    <x v="190"/>
    <x v="222"/>
    <x v="218"/>
    <x v="7"/>
  </r>
  <r>
    <x v="2"/>
    <x v="4"/>
    <x v="222"/>
    <x v="200"/>
    <x v="143"/>
    <x v="145"/>
    <x v="223"/>
    <x v="219"/>
    <x v="4"/>
  </r>
  <r>
    <x v="11"/>
    <x v="0"/>
    <x v="223"/>
    <x v="201"/>
    <x v="20"/>
    <x v="20"/>
    <x v="224"/>
    <x v="220"/>
    <x v="7"/>
  </r>
  <r>
    <x v="8"/>
    <x v="1"/>
    <x v="224"/>
    <x v="144"/>
    <x v="43"/>
    <x v="45"/>
    <x v="225"/>
    <x v="221"/>
    <x v="7"/>
  </r>
  <r>
    <x v="4"/>
    <x v="2"/>
    <x v="225"/>
    <x v="202"/>
    <x v="38"/>
    <x v="191"/>
    <x v="226"/>
    <x v="222"/>
    <x v="3"/>
  </r>
  <r>
    <x v="13"/>
    <x v="1"/>
    <x v="226"/>
    <x v="203"/>
    <x v="191"/>
    <x v="42"/>
    <x v="227"/>
    <x v="223"/>
    <x v="9"/>
  </r>
  <r>
    <x v="5"/>
    <x v="1"/>
    <x v="227"/>
    <x v="30"/>
    <x v="43"/>
    <x v="45"/>
    <x v="228"/>
    <x v="224"/>
    <x v="4"/>
  </r>
  <r>
    <x v="3"/>
    <x v="0"/>
    <x v="228"/>
    <x v="204"/>
    <x v="192"/>
    <x v="192"/>
    <x v="229"/>
    <x v="225"/>
    <x v="5"/>
  </r>
  <r>
    <x v="9"/>
    <x v="0"/>
    <x v="229"/>
    <x v="205"/>
    <x v="25"/>
    <x v="25"/>
    <x v="230"/>
    <x v="226"/>
    <x v="7"/>
  </r>
  <r>
    <x v="1"/>
    <x v="5"/>
    <x v="230"/>
    <x v="206"/>
    <x v="5"/>
    <x v="28"/>
    <x v="231"/>
    <x v="227"/>
    <x v="7"/>
  </r>
  <r>
    <x v="0"/>
    <x v="1"/>
    <x v="231"/>
    <x v="170"/>
    <x v="5"/>
    <x v="28"/>
    <x v="232"/>
    <x v="228"/>
    <x v="6"/>
  </r>
  <r>
    <x v="1"/>
    <x v="4"/>
    <x v="232"/>
    <x v="207"/>
    <x v="193"/>
    <x v="193"/>
    <x v="233"/>
    <x v="229"/>
    <x v="0"/>
  </r>
  <r>
    <x v="0"/>
    <x v="2"/>
    <x v="233"/>
    <x v="208"/>
    <x v="194"/>
    <x v="194"/>
    <x v="234"/>
    <x v="230"/>
    <x v="2"/>
  </r>
  <r>
    <x v="3"/>
    <x v="1"/>
    <x v="234"/>
    <x v="209"/>
    <x v="172"/>
    <x v="195"/>
    <x v="235"/>
    <x v="231"/>
    <x v="9"/>
  </r>
  <r>
    <x v="14"/>
    <x v="4"/>
    <x v="235"/>
    <x v="210"/>
    <x v="160"/>
    <x v="160"/>
    <x v="236"/>
    <x v="232"/>
    <x v="8"/>
  </r>
  <r>
    <x v="11"/>
    <x v="3"/>
    <x v="236"/>
    <x v="211"/>
    <x v="195"/>
    <x v="196"/>
    <x v="237"/>
    <x v="233"/>
    <x v="5"/>
  </r>
  <r>
    <x v="7"/>
    <x v="1"/>
    <x v="237"/>
    <x v="212"/>
    <x v="191"/>
    <x v="197"/>
    <x v="238"/>
    <x v="234"/>
    <x v="8"/>
  </r>
  <r>
    <x v="13"/>
    <x v="0"/>
    <x v="238"/>
    <x v="213"/>
    <x v="196"/>
    <x v="198"/>
    <x v="239"/>
    <x v="235"/>
    <x v="6"/>
  </r>
  <r>
    <x v="1"/>
    <x v="0"/>
    <x v="239"/>
    <x v="214"/>
    <x v="197"/>
    <x v="199"/>
    <x v="240"/>
    <x v="236"/>
    <x v="2"/>
  </r>
  <r>
    <x v="13"/>
    <x v="2"/>
    <x v="240"/>
    <x v="215"/>
    <x v="198"/>
    <x v="200"/>
    <x v="241"/>
    <x v="237"/>
    <x v="1"/>
  </r>
  <r>
    <x v="5"/>
    <x v="1"/>
    <x v="241"/>
    <x v="216"/>
    <x v="199"/>
    <x v="201"/>
    <x v="242"/>
    <x v="238"/>
    <x v="3"/>
  </r>
  <r>
    <x v="1"/>
    <x v="4"/>
    <x v="242"/>
    <x v="217"/>
    <x v="200"/>
    <x v="202"/>
    <x v="243"/>
    <x v="239"/>
    <x v="3"/>
  </r>
  <r>
    <x v="11"/>
    <x v="1"/>
    <x v="243"/>
    <x v="218"/>
    <x v="201"/>
    <x v="203"/>
    <x v="244"/>
    <x v="240"/>
    <x v="2"/>
  </r>
  <r>
    <x v="2"/>
    <x v="0"/>
    <x v="244"/>
    <x v="89"/>
    <x v="75"/>
    <x v="79"/>
    <x v="245"/>
    <x v="241"/>
    <x v="4"/>
  </r>
  <r>
    <x v="2"/>
    <x v="0"/>
    <x v="245"/>
    <x v="219"/>
    <x v="202"/>
    <x v="204"/>
    <x v="246"/>
    <x v="242"/>
    <x v="8"/>
  </r>
  <r>
    <x v="11"/>
    <x v="4"/>
    <x v="246"/>
    <x v="220"/>
    <x v="203"/>
    <x v="205"/>
    <x v="247"/>
    <x v="243"/>
    <x v="8"/>
  </r>
  <r>
    <x v="10"/>
    <x v="3"/>
    <x v="247"/>
    <x v="221"/>
    <x v="204"/>
    <x v="60"/>
    <x v="248"/>
    <x v="244"/>
    <x v="4"/>
  </r>
  <r>
    <x v="2"/>
    <x v="6"/>
    <x v="248"/>
    <x v="222"/>
    <x v="205"/>
    <x v="206"/>
    <x v="249"/>
    <x v="245"/>
    <x v="9"/>
  </r>
  <r>
    <x v="1"/>
    <x v="2"/>
    <x v="249"/>
    <x v="223"/>
    <x v="206"/>
    <x v="207"/>
    <x v="250"/>
    <x v="246"/>
    <x v="5"/>
  </r>
  <r>
    <x v="8"/>
    <x v="3"/>
    <x v="250"/>
    <x v="224"/>
    <x v="207"/>
    <x v="208"/>
    <x v="251"/>
    <x v="247"/>
    <x v="8"/>
  </r>
  <r>
    <x v="4"/>
    <x v="3"/>
    <x v="251"/>
    <x v="225"/>
    <x v="208"/>
    <x v="209"/>
    <x v="252"/>
    <x v="248"/>
    <x v="3"/>
  </r>
  <r>
    <x v="6"/>
    <x v="4"/>
    <x v="252"/>
    <x v="226"/>
    <x v="209"/>
    <x v="210"/>
    <x v="253"/>
    <x v="249"/>
    <x v="1"/>
  </r>
  <r>
    <x v="13"/>
    <x v="4"/>
    <x v="253"/>
    <x v="210"/>
    <x v="191"/>
    <x v="211"/>
    <x v="254"/>
    <x v="250"/>
    <x v="1"/>
  </r>
  <r>
    <x v="14"/>
    <x v="4"/>
    <x v="254"/>
    <x v="227"/>
    <x v="210"/>
    <x v="212"/>
    <x v="255"/>
    <x v="251"/>
    <x v="2"/>
  </r>
  <r>
    <x v="12"/>
    <x v="3"/>
    <x v="49"/>
    <x v="228"/>
    <x v="1"/>
    <x v="1"/>
    <x v="256"/>
    <x v="252"/>
    <x v="7"/>
  </r>
  <r>
    <x v="12"/>
    <x v="3"/>
    <x v="255"/>
    <x v="229"/>
    <x v="211"/>
    <x v="213"/>
    <x v="257"/>
    <x v="1"/>
    <x v="6"/>
  </r>
  <r>
    <x v="11"/>
    <x v="4"/>
    <x v="256"/>
    <x v="230"/>
    <x v="212"/>
    <x v="214"/>
    <x v="258"/>
    <x v="253"/>
    <x v="1"/>
  </r>
  <r>
    <x v="7"/>
    <x v="4"/>
    <x v="257"/>
    <x v="145"/>
    <x v="31"/>
    <x v="32"/>
    <x v="259"/>
    <x v="254"/>
    <x v="7"/>
  </r>
  <r>
    <x v="1"/>
    <x v="1"/>
    <x v="258"/>
    <x v="231"/>
    <x v="28"/>
    <x v="29"/>
    <x v="260"/>
    <x v="255"/>
    <x v="7"/>
  </r>
  <r>
    <x v="2"/>
    <x v="1"/>
    <x v="259"/>
    <x v="126"/>
    <x v="28"/>
    <x v="29"/>
    <x v="261"/>
    <x v="256"/>
    <x v="4"/>
  </r>
  <r>
    <x v="14"/>
    <x v="1"/>
    <x v="260"/>
    <x v="145"/>
    <x v="31"/>
    <x v="32"/>
    <x v="262"/>
    <x v="257"/>
    <x v="6"/>
  </r>
  <r>
    <x v="0"/>
    <x v="3"/>
    <x v="261"/>
    <x v="190"/>
    <x v="213"/>
    <x v="215"/>
    <x v="263"/>
    <x v="258"/>
    <x v="6"/>
  </r>
  <r>
    <x v="7"/>
    <x v="2"/>
    <x v="262"/>
    <x v="232"/>
    <x v="214"/>
    <x v="216"/>
    <x v="264"/>
    <x v="259"/>
    <x v="3"/>
  </r>
  <r>
    <x v="13"/>
    <x v="1"/>
    <x v="263"/>
    <x v="233"/>
    <x v="215"/>
    <x v="217"/>
    <x v="265"/>
    <x v="260"/>
    <x v="8"/>
  </r>
  <r>
    <x v="10"/>
    <x v="4"/>
    <x v="264"/>
    <x v="234"/>
    <x v="216"/>
    <x v="218"/>
    <x v="266"/>
    <x v="261"/>
    <x v="6"/>
  </r>
  <r>
    <x v="0"/>
    <x v="2"/>
    <x v="265"/>
    <x v="235"/>
    <x v="217"/>
    <x v="219"/>
    <x v="267"/>
    <x v="262"/>
    <x v="5"/>
  </r>
  <r>
    <x v="6"/>
    <x v="0"/>
    <x v="266"/>
    <x v="236"/>
    <x v="218"/>
    <x v="220"/>
    <x v="268"/>
    <x v="263"/>
    <x v="3"/>
  </r>
  <r>
    <x v="6"/>
    <x v="2"/>
    <x v="267"/>
    <x v="237"/>
    <x v="219"/>
    <x v="221"/>
    <x v="269"/>
    <x v="264"/>
    <x v="8"/>
  </r>
  <r>
    <x v="4"/>
    <x v="3"/>
    <x v="268"/>
    <x v="238"/>
    <x v="220"/>
    <x v="222"/>
    <x v="270"/>
    <x v="265"/>
    <x v="6"/>
  </r>
  <r>
    <x v="6"/>
    <x v="3"/>
    <x v="269"/>
    <x v="239"/>
    <x v="221"/>
    <x v="223"/>
    <x v="271"/>
    <x v="266"/>
    <x v="1"/>
  </r>
  <r>
    <x v="5"/>
    <x v="4"/>
    <x v="270"/>
    <x v="240"/>
    <x v="222"/>
    <x v="224"/>
    <x v="272"/>
    <x v="267"/>
    <x v="1"/>
  </r>
  <r>
    <x v="4"/>
    <x v="3"/>
    <x v="271"/>
    <x v="241"/>
    <x v="223"/>
    <x v="225"/>
    <x v="273"/>
    <x v="268"/>
    <x v="5"/>
  </r>
  <r>
    <x v="7"/>
    <x v="0"/>
    <x v="272"/>
    <x v="242"/>
    <x v="224"/>
    <x v="226"/>
    <x v="274"/>
    <x v="269"/>
    <x v="6"/>
  </r>
  <r>
    <x v="1"/>
    <x v="2"/>
    <x v="273"/>
    <x v="243"/>
    <x v="175"/>
    <x v="227"/>
    <x v="275"/>
    <x v="270"/>
    <x v="3"/>
  </r>
  <r>
    <x v="1"/>
    <x v="0"/>
    <x v="274"/>
    <x v="244"/>
    <x v="225"/>
    <x v="228"/>
    <x v="276"/>
    <x v="271"/>
    <x v="6"/>
  </r>
  <r>
    <x v="1"/>
    <x v="4"/>
    <x v="275"/>
    <x v="245"/>
    <x v="226"/>
    <x v="229"/>
    <x v="277"/>
    <x v="272"/>
    <x v="5"/>
  </r>
  <r>
    <x v="6"/>
    <x v="2"/>
    <x v="276"/>
    <x v="246"/>
    <x v="227"/>
    <x v="230"/>
    <x v="278"/>
    <x v="273"/>
    <x v="2"/>
  </r>
  <r>
    <x v="10"/>
    <x v="0"/>
    <x v="277"/>
    <x v="247"/>
    <x v="228"/>
    <x v="231"/>
    <x v="279"/>
    <x v="274"/>
    <x v="8"/>
  </r>
  <r>
    <x v="2"/>
    <x v="0"/>
    <x v="278"/>
    <x v="248"/>
    <x v="229"/>
    <x v="232"/>
    <x v="280"/>
    <x v="275"/>
    <x v="0"/>
  </r>
  <r>
    <x v="11"/>
    <x v="0"/>
    <x v="279"/>
    <x v="249"/>
    <x v="230"/>
    <x v="233"/>
    <x v="281"/>
    <x v="276"/>
    <x v="6"/>
  </r>
  <r>
    <x v="6"/>
    <x v="0"/>
    <x v="280"/>
    <x v="250"/>
    <x v="231"/>
    <x v="234"/>
    <x v="282"/>
    <x v="277"/>
    <x v="6"/>
  </r>
  <r>
    <x v="10"/>
    <x v="5"/>
    <x v="281"/>
    <x v="18"/>
    <x v="232"/>
    <x v="235"/>
    <x v="283"/>
    <x v="278"/>
    <x v="5"/>
  </r>
  <r>
    <x v="5"/>
    <x v="3"/>
    <x v="282"/>
    <x v="251"/>
    <x v="233"/>
    <x v="236"/>
    <x v="284"/>
    <x v="279"/>
    <x v="9"/>
  </r>
  <r>
    <x v="6"/>
    <x v="1"/>
    <x v="283"/>
    <x v="252"/>
    <x v="177"/>
    <x v="237"/>
    <x v="285"/>
    <x v="280"/>
    <x v="5"/>
  </r>
  <r>
    <x v="12"/>
    <x v="4"/>
    <x v="20"/>
    <x v="126"/>
    <x v="60"/>
    <x v="63"/>
    <x v="286"/>
    <x v="281"/>
    <x v="4"/>
  </r>
  <r>
    <x v="12"/>
    <x v="1"/>
    <x v="284"/>
    <x v="27"/>
    <x v="28"/>
    <x v="29"/>
    <x v="287"/>
    <x v="282"/>
    <x v="3"/>
  </r>
  <r>
    <x v="2"/>
    <x v="2"/>
    <x v="285"/>
    <x v="253"/>
    <x v="234"/>
    <x v="238"/>
    <x v="288"/>
    <x v="283"/>
    <x v="8"/>
  </r>
  <r>
    <x v="1"/>
    <x v="2"/>
    <x v="286"/>
    <x v="254"/>
    <x v="111"/>
    <x v="239"/>
    <x v="289"/>
    <x v="284"/>
    <x v="7"/>
  </r>
  <r>
    <x v="12"/>
    <x v="6"/>
    <x v="287"/>
    <x v="255"/>
    <x v="109"/>
    <x v="112"/>
    <x v="290"/>
    <x v="285"/>
    <x v="9"/>
  </r>
  <r>
    <x v="5"/>
    <x v="0"/>
    <x v="288"/>
    <x v="153"/>
    <x v="235"/>
    <x v="240"/>
    <x v="291"/>
    <x v="286"/>
    <x v="1"/>
  </r>
  <r>
    <x v="1"/>
    <x v="0"/>
    <x v="289"/>
    <x v="256"/>
    <x v="236"/>
    <x v="173"/>
    <x v="292"/>
    <x v="287"/>
    <x v="3"/>
  </r>
  <r>
    <x v="10"/>
    <x v="3"/>
    <x v="290"/>
    <x v="257"/>
    <x v="237"/>
    <x v="241"/>
    <x v="293"/>
    <x v="288"/>
    <x v="6"/>
  </r>
  <r>
    <x v="9"/>
    <x v="0"/>
    <x v="291"/>
    <x v="258"/>
    <x v="238"/>
    <x v="242"/>
    <x v="294"/>
    <x v="289"/>
    <x v="8"/>
  </r>
  <r>
    <x v="4"/>
    <x v="3"/>
    <x v="292"/>
    <x v="259"/>
    <x v="239"/>
    <x v="243"/>
    <x v="295"/>
    <x v="290"/>
    <x v="1"/>
  </r>
  <r>
    <x v="5"/>
    <x v="1"/>
    <x v="293"/>
    <x v="260"/>
    <x v="199"/>
    <x v="201"/>
    <x v="296"/>
    <x v="291"/>
    <x v="5"/>
  </r>
  <r>
    <x v="13"/>
    <x v="1"/>
    <x v="294"/>
    <x v="261"/>
    <x v="199"/>
    <x v="201"/>
    <x v="297"/>
    <x v="292"/>
    <x v="1"/>
  </r>
  <r>
    <x v="3"/>
    <x v="0"/>
    <x v="295"/>
    <x v="262"/>
    <x v="240"/>
    <x v="244"/>
    <x v="298"/>
    <x v="293"/>
    <x v="8"/>
  </r>
  <r>
    <x v="3"/>
    <x v="3"/>
    <x v="296"/>
    <x v="263"/>
    <x v="241"/>
    <x v="245"/>
    <x v="299"/>
    <x v="294"/>
    <x v="8"/>
  </r>
  <r>
    <x v="11"/>
    <x v="1"/>
    <x v="297"/>
    <x v="264"/>
    <x v="161"/>
    <x v="44"/>
    <x v="300"/>
    <x v="295"/>
    <x v="5"/>
  </r>
  <r>
    <x v="5"/>
    <x v="1"/>
    <x v="298"/>
    <x v="265"/>
    <x v="180"/>
    <x v="246"/>
    <x v="301"/>
    <x v="296"/>
    <x v="9"/>
  </r>
  <r>
    <x v="2"/>
    <x v="4"/>
    <x v="299"/>
    <x v="266"/>
    <x v="242"/>
    <x v="247"/>
    <x v="302"/>
    <x v="297"/>
    <x v="5"/>
  </r>
  <r>
    <x v="8"/>
    <x v="3"/>
    <x v="300"/>
    <x v="267"/>
    <x v="243"/>
    <x v="248"/>
    <x v="303"/>
    <x v="298"/>
    <x v="2"/>
  </r>
  <r>
    <x v="0"/>
    <x v="3"/>
    <x v="301"/>
    <x v="147"/>
    <x v="244"/>
    <x v="249"/>
    <x v="304"/>
    <x v="299"/>
    <x v="0"/>
  </r>
  <r>
    <x v="7"/>
    <x v="2"/>
    <x v="302"/>
    <x v="268"/>
    <x v="225"/>
    <x v="250"/>
    <x v="305"/>
    <x v="300"/>
    <x v="0"/>
  </r>
  <r>
    <x v="8"/>
    <x v="1"/>
    <x v="303"/>
    <x v="269"/>
    <x v="245"/>
    <x v="237"/>
    <x v="306"/>
    <x v="301"/>
    <x v="5"/>
  </r>
  <r>
    <x v="11"/>
    <x v="4"/>
    <x v="304"/>
    <x v="270"/>
    <x v="246"/>
    <x v="251"/>
    <x v="307"/>
    <x v="302"/>
    <x v="6"/>
  </r>
  <r>
    <x v="3"/>
    <x v="4"/>
    <x v="305"/>
    <x v="271"/>
    <x v="247"/>
    <x v="252"/>
    <x v="308"/>
    <x v="303"/>
    <x v="0"/>
  </r>
  <r>
    <x v="14"/>
    <x v="3"/>
    <x v="306"/>
    <x v="20"/>
    <x v="28"/>
    <x v="29"/>
    <x v="309"/>
    <x v="304"/>
    <x v="4"/>
  </r>
  <r>
    <x v="12"/>
    <x v="1"/>
    <x v="307"/>
    <x v="30"/>
    <x v="248"/>
    <x v="253"/>
    <x v="310"/>
    <x v="305"/>
    <x v="6"/>
  </r>
  <r>
    <x v="5"/>
    <x v="2"/>
    <x v="308"/>
    <x v="272"/>
    <x v="249"/>
    <x v="254"/>
    <x v="311"/>
    <x v="306"/>
    <x v="2"/>
  </r>
  <r>
    <x v="1"/>
    <x v="1"/>
    <x v="309"/>
    <x v="29"/>
    <x v="161"/>
    <x v="44"/>
    <x v="312"/>
    <x v="307"/>
    <x v="1"/>
  </r>
  <r>
    <x v="3"/>
    <x v="1"/>
    <x v="310"/>
    <x v="67"/>
    <x v="25"/>
    <x v="25"/>
    <x v="313"/>
    <x v="308"/>
    <x v="4"/>
  </r>
  <r>
    <x v="4"/>
    <x v="0"/>
    <x v="311"/>
    <x v="5"/>
    <x v="161"/>
    <x v="5"/>
    <x v="314"/>
    <x v="309"/>
    <x v="7"/>
  </r>
  <r>
    <x v="2"/>
    <x v="2"/>
    <x v="312"/>
    <x v="66"/>
    <x v="250"/>
    <x v="255"/>
    <x v="315"/>
    <x v="310"/>
    <x v="3"/>
  </r>
  <r>
    <x v="5"/>
    <x v="2"/>
    <x v="313"/>
    <x v="273"/>
    <x v="251"/>
    <x v="188"/>
    <x v="316"/>
    <x v="311"/>
    <x v="7"/>
  </r>
  <r>
    <x v="14"/>
    <x v="3"/>
    <x v="314"/>
    <x v="45"/>
    <x v="83"/>
    <x v="87"/>
    <x v="317"/>
    <x v="312"/>
    <x v="9"/>
  </r>
  <r>
    <x v="6"/>
    <x v="3"/>
    <x v="315"/>
    <x v="274"/>
    <x v="252"/>
    <x v="256"/>
    <x v="318"/>
    <x v="313"/>
    <x v="5"/>
  </r>
  <r>
    <x v="12"/>
    <x v="0"/>
    <x v="316"/>
    <x v="45"/>
    <x v="43"/>
    <x v="45"/>
    <x v="319"/>
    <x v="314"/>
    <x v="4"/>
  </r>
  <r>
    <x v="4"/>
    <x v="3"/>
    <x v="317"/>
    <x v="275"/>
    <x v="253"/>
    <x v="257"/>
    <x v="320"/>
    <x v="315"/>
    <x v="4"/>
  </r>
  <r>
    <x v="10"/>
    <x v="1"/>
    <x v="318"/>
    <x v="276"/>
    <x v="199"/>
    <x v="201"/>
    <x v="321"/>
    <x v="316"/>
    <x v="6"/>
  </r>
  <r>
    <x v="5"/>
    <x v="0"/>
    <x v="319"/>
    <x v="277"/>
    <x v="254"/>
    <x v="258"/>
    <x v="322"/>
    <x v="317"/>
    <x v="0"/>
  </r>
  <r>
    <x v="4"/>
    <x v="5"/>
    <x v="320"/>
    <x v="278"/>
    <x v="255"/>
    <x v="5"/>
    <x v="323"/>
    <x v="318"/>
    <x v="7"/>
  </r>
  <r>
    <x v="3"/>
    <x v="3"/>
    <x v="321"/>
    <x v="279"/>
    <x v="256"/>
    <x v="259"/>
    <x v="324"/>
    <x v="319"/>
    <x v="6"/>
  </r>
  <r>
    <x v="14"/>
    <x v="0"/>
    <x v="322"/>
    <x v="145"/>
    <x v="31"/>
    <x v="32"/>
    <x v="325"/>
    <x v="320"/>
    <x v="7"/>
  </r>
  <r>
    <x v="7"/>
    <x v="1"/>
    <x v="323"/>
    <x v="280"/>
    <x v="66"/>
    <x v="70"/>
    <x v="326"/>
    <x v="321"/>
    <x v="6"/>
  </r>
  <r>
    <x v="4"/>
    <x v="1"/>
    <x v="324"/>
    <x v="116"/>
    <x v="42"/>
    <x v="154"/>
    <x v="327"/>
    <x v="322"/>
    <x v="1"/>
  </r>
  <r>
    <x v="2"/>
    <x v="4"/>
    <x v="325"/>
    <x v="145"/>
    <x v="31"/>
    <x v="32"/>
    <x v="328"/>
    <x v="323"/>
    <x v="7"/>
  </r>
  <r>
    <x v="8"/>
    <x v="3"/>
    <x v="326"/>
    <x v="281"/>
    <x v="257"/>
    <x v="260"/>
    <x v="329"/>
    <x v="324"/>
    <x v="0"/>
  </r>
  <r>
    <x v="13"/>
    <x v="4"/>
    <x v="327"/>
    <x v="282"/>
    <x v="258"/>
    <x v="261"/>
    <x v="330"/>
    <x v="325"/>
    <x v="3"/>
  </r>
  <r>
    <x v="11"/>
    <x v="2"/>
    <x v="328"/>
    <x v="283"/>
    <x v="259"/>
    <x v="262"/>
    <x v="331"/>
    <x v="326"/>
    <x v="0"/>
  </r>
  <r>
    <x v="11"/>
    <x v="4"/>
    <x v="329"/>
    <x v="112"/>
    <x v="160"/>
    <x v="160"/>
    <x v="332"/>
    <x v="327"/>
    <x v="3"/>
  </r>
  <r>
    <x v="2"/>
    <x v="3"/>
    <x v="330"/>
    <x v="284"/>
    <x v="260"/>
    <x v="263"/>
    <x v="333"/>
    <x v="328"/>
    <x v="9"/>
  </r>
  <r>
    <x v="0"/>
    <x v="1"/>
    <x v="331"/>
    <x v="285"/>
    <x v="180"/>
    <x v="19"/>
    <x v="334"/>
    <x v="329"/>
    <x v="8"/>
  </r>
  <r>
    <x v="14"/>
    <x v="6"/>
    <x v="138"/>
    <x v="48"/>
    <x v="46"/>
    <x v="48"/>
    <x v="138"/>
    <x v="50"/>
    <x v="7"/>
  </r>
  <r>
    <x v="8"/>
    <x v="1"/>
    <x v="332"/>
    <x v="216"/>
    <x v="261"/>
    <x v="264"/>
    <x v="335"/>
    <x v="330"/>
    <x v="3"/>
  </r>
  <r>
    <x v="4"/>
    <x v="4"/>
    <x v="333"/>
    <x v="286"/>
    <x v="262"/>
    <x v="265"/>
    <x v="336"/>
    <x v="331"/>
    <x v="8"/>
  </r>
  <r>
    <x v="7"/>
    <x v="2"/>
    <x v="334"/>
    <x v="287"/>
    <x v="263"/>
    <x v="266"/>
    <x v="337"/>
    <x v="332"/>
    <x v="6"/>
  </r>
  <r>
    <x v="4"/>
    <x v="2"/>
    <x v="335"/>
    <x v="288"/>
    <x v="264"/>
    <x v="267"/>
    <x v="338"/>
    <x v="333"/>
    <x v="1"/>
  </r>
  <r>
    <x v="5"/>
    <x v="3"/>
    <x v="336"/>
    <x v="289"/>
    <x v="265"/>
    <x v="268"/>
    <x v="339"/>
    <x v="334"/>
    <x v="8"/>
  </r>
  <r>
    <x v="3"/>
    <x v="2"/>
    <x v="337"/>
    <x v="269"/>
    <x v="266"/>
    <x v="131"/>
    <x v="340"/>
    <x v="335"/>
    <x v="4"/>
  </r>
  <r>
    <x v="2"/>
    <x v="1"/>
    <x v="338"/>
    <x v="77"/>
    <x v="29"/>
    <x v="120"/>
    <x v="341"/>
    <x v="336"/>
    <x v="1"/>
  </r>
  <r>
    <x v="12"/>
    <x v="0"/>
    <x v="339"/>
    <x v="290"/>
    <x v="267"/>
    <x v="269"/>
    <x v="342"/>
    <x v="337"/>
    <x v="8"/>
  </r>
  <r>
    <x v="0"/>
    <x v="0"/>
    <x v="340"/>
    <x v="291"/>
    <x v="268"/>
    <x v="270"/>
    <x v="343"/>
    <x v="338"/>
    <x v="6"/>
  </r>
  <r>
    <x v="8"/>
    <x v="3"/>
    <x v="341"/>
    <x v="292"/>
    <x v="269"/>
    <x v="271"/>
    <x v="344"/>
    <x v="339"/>
    <x v="5"/>
  </r>
  <r>
    <x v="4"/>
    <x v="3"/>
    <x v="342"/>
    <x v="293"/>
    <x v="270"/>
    <x v="272"/>
    <x v="345"/>
    <x v="340"/>
    <x v="2"/>
  </r>
  <r>
    <x v="3"/>
    <x v="5"/>
    <x v="343"/>
    <x v="116"/>
    <x v="232"/>
    <x v="235"/>
    <x v="346"/>
    <x v="341"/>
    <x v="5"/>
  </r>
  <r>
    <x v="7"/>
    <x v="3"/>
    <x v="344"/>
    <x v="294"/>
    <x v="271"/>
    <x v="273"/>
    <x v="347"/>
    <x v="342"/>
    <x v="3"/>
  </r>
  <r>
    <x v="6"/>
    <x v="4"/>
    <x v="345"/>
    <x v="295"/>
    <x v="252"/>
    <x v="274"/>
    <x v="348"/>
    <x v="343"/>
    <x v="3"/>
  </r>
  <r>
    <x v="3"/>
    <x v="2"/>
    <x v="346"/>
    <x v="296"/>
    <x v="272"/>
    <x v="275"/>
    <x v="349"/>
    <x v="344"/>
    <x v="6"/>
  </r>
  <r>
    <x v="5"/>
    <x v="3"/>
    <x v="347"/>
    <x v="297"/>
    <x v="273"/>
    <x v="276"/>
    <x v="350"/>
    <x v="345"/>
    <x v="6"/>
  </r>
  <r>
    <x v="6"/>
    <x v="2"/>
    <x v="348"/>
    <x v="298"/>
    <x v="274"/>
    <x v="277"/>
    <x v="351"/>
    <x v="346"/>
    <x v="0"/>
  </r>
  <r>
    <x v="2"/>
    <x v="4"/>
    <x v="349"/>
    <x v="299"/>
    <x v="275"/>
    <x v="278"/>
    <x v="352"/>
    <x v="347"/>
    <x v="8"/>
  </r>
  <r>
    <x v="9"/>
    <x v="2"/>
    <x v="350"/>
    <x v="300"/>
    <x v="276"/>
    <x v="279"/>
    <x v="353"/>
    <x v="348"/>
    <x v="2"/>
  </r>
  <r>
    <x v="14"/>
    <x v="6"/>
    <x v="351"/>
    <x v="125"/>
    <x v="248"/>
    <x v="253"/>
    <x v="354"/>
    <x v="349"/>
    <x v="9"/>
  </r>
  <r>
    <x v="7"/>
    <x v="0"/>
    <x v="352"/>
    <x v="301"/>
    <x v="277"/>
    <x v="58"/>
    <x v="355"/>
    <x v="350"/>
    <x v="3"/>
  </r>
  <r>
    <x v="0"/>
    <x v="1"/>
    <x v="353"/>
    <x v="29"/>
    <x v="5"/>
    <x v="5"/>
    <x v="356"/>
    <x v="351"/>
    <x v="1"/>
  </r>
  <r>
    <x v="9"/>
    <x v="1"/>
    <x v="159"/>
    <x v="278"/>
    <x v="150"/>
    <x v="16"/>
    <x v="357"/>
    <x v="352"/>
    <x v="3"/>
  </r>
  <r>
    <x v="5"/>
    <x v="2"/>
    <x v="354"/>
    <x v="302"/>
    <x v="278"/>
    <x v="280"/>
    <x v="358"/>
    <x v="353"/>
    <x v="1"/>
  </r>
  <r>
    <x v="7"/>
    <x v="3"/>
    <x v="355"/>
    <x v="119"/>
    <x v="279"/>
    <x v="281"/>
    <x v="359"/>
    <x v="354"/>
    <x v="9"/>
  </r>
  <r>
    <x v="14"/>
    <x v="0"/>
    <x v="356"/>
    <x v="303"/>
    <x v="280"/>
    <x v="282"/>
    <x v="360"/>
    <x v="355"/>
    <x v="6"/>
  </r>
  <r>
    <x v="3"/>
    <x v="2"/>
    <x v="357"/>
    <x v="304"/>
    <x v="281"/>
    <x v="283"/>
    <x v="361"/>
    <x v="356"/>
    <x v="8"/>
  </r>
  <r>
    <x v="12"/>
    <x v="5"/>
    <x v="358"/>
    <x v="20"/>
    <x v="60"/>
    <x v="63"/>
    <x v="362"/>
    <x v="357"/>
    <x v="7"/>
  </r>
  <r>
    <x v="1"/>
    <x v="3"/>
    <x v="359"/>
    <x v="305"/>
    <x v="282"/>
    <x v="284"/>
    <x v="363"/>
    <x v="358"/>
    <x v="3"/>
  </r>
  <r>
    <x v="11"/>
    <x v="0"/>
    <x v="360"/>
    <x v="306"/>
    <x v="283"/>
    <x v="285"/>
    <x v="364"/>
    <x v="359"/>
    <x v="0"/>
  </r>
  <r>
    <x v="14"/>
    <x v="0"/>
    <x v="361"/>
    <x v="307"/>
    <x v="284"/>
    <x v="188"/>
    <x v="365"/>
    <x v="360"/>
    <x v="5"/>
  </r>
  <r>
    <x v="4"/>
    <x v="0"/>
    <x v="362"/>
    <x v="308"/>
    <x v="285"/>
    <x v="1"/>
    <x v="366"/>
    <x v="361"/>
    <x v="4"/>
  </r>
  <r>
    <x v="6"/>
    <x v="0"/>
    <x v="363"/>
    <x v="309"/>
    <x v="286"/>
    <x v="286"/>
    <x v="367"/>
    <x v="362"/>
    <x v="4"/>
  </r>
  <r>
    <x v="6"/>
    <x v="4"/>
    <x v="364"/>
    <x v="310"/>
    <x v="287"/>
    <x v="287"/>
    <x v="368"/>
    <x v="363"/>
    <x v="6"/>
  </r>
  <r>
    <x v="2"/>
    <x v="0"/>
    <x v="365"/>
    <x v="311"/>
    <x v="288"/>
    <x v="288"/>
    <x v="369"/>
    <x v="364"/>
    <x v="2"/>
  </r>
  <r>
    <x v="6"/>
    <x v="0"/>
    <x v="366"/>
    <x v="94"/>
    <x v="289"/>
    <x v="289"/>
    <x v="370"/>
    <x v="365"/>
    <x v="1"/>
  </r>
  <r>
    <x v="3"/>
    <x v="6"/>
    <x v="367"/>
    <x v="312"/>
    <x v="290"/>
    <x v="290"/>
    <x v="371"/>
    <x v="366"/>
    <x v="9"/>
  </r>
  <r>
    <x v="11"/>
    <x v="5"/>
    <x v="368"/>
    <x v="144"/>
    <x v="150"/>
    <x v="16"/>
    <x v="372"/>
    <x v="367"/>
    <x v="7"/>
  </r>
  <r>
    <x v="13"/>
    <x v="1"/>
    <x v="369"/>
    <x v="313"/>
    <x v="45"/>
    <x v="291"/>
    <x v="373"/>
    <x v="368"/>
    <x v="5"/>
  </r>
  <r>
    <x v="13"/>
    <x v="3"/>
    <x v="370"/>
    <x v="314"/>
    <x v="291"/>
    <x v="292"/>
    <x v="374"/>
    <x v="369"/>
    <x v="2"/>
  </r>
  <r>
    <x v="4"/>
    <x v="3"/>
    <x v="371"/>
    <x v="315"/>
    <x v="292"/>
    <x v="293"/>
    <x v="375"/>
    <x v="370"/>
    <x v="8"/>
  </r>
  <r>
    <x v="0"/>
    <x v="4"/>
    <x v="372"/>
    <x v="316"/>
    <x v="293"/>
    <x v="294"/>
    <x v="376"/>
    <x v="371"/>
    <x v="2"/>
  </r>
  <r>
    <x v="3"/>
    <x v="3"/>
    <x v="373"/>
    <x v="117"/>
    <x v="294"/>
    <x v="295"/>
    <x v="377"/>
    <x v="372"/>
    <x v="4"/>
  </r>
  <r>
    <x v="5"/>
    <x v="5"/>
    <x v="374"/>
    <x v="188"/>
    <x v="16"/>
    <x v="16"/>
    <x v="378"/>
    <x v="373"/>
    <x v="5"/>
  </r>
  <r>
    <x v="5"/>
    <x v="6"/>
    <x v="375"/>
    <x v="317"/>
    <x v="295"/>
    <x v="296"/>
    <x v="379"/>
    <x v="374"/>
    <x v="9"/>
  </r>
  <r>
    <x v="4"/>
    <x v="4"/>
    <x v="376"/>
    <x v="318"/>
    <x v="134"/>
    <x v="297"/>
    <x v="380"/>
    <x v="375"/>
    <x v="1"/>
  </r>
  <r>
    <x v="6"/>
    <x v="0"/>
    <x v="377"/>
    <x v="319"/>
    <x v="296"/>
    <x v="298"/>
    <x v="381"/>
    <x v="376"/>
    <x v="8"/>
  </r>
  <r>
    <x v="2"/>
    <x v="3"/>
    <x v="378"/>
    <x v="320"/>
    <x v="297"/>
    <x v="299"/>
    <x v="382"/>
    <x v="377"/>
    <x v="0"/>
  </r>
  <r>
    <x v="9"/>
    <x v="3"/>
    <x v="379"/>
    <x v="321"/>
    <x v="298"/>
    <x v="300"/>
    <x v="383"/>
    <x v="378"/>
    <x v="9"/>
  </r>
  <r>
    <x v="11"/>
    <x v="2"/>
    <x v="380"/>
    <x v="322"/>
    <x v="299"/>
    <x v="301"/>
    <x v="384"/>
    <x v="379"/>
    <x v="1"/>
  </r>
  <r>
    <x v="11"/>
    <x v="3"/>
    <x v="381"/>
    <x v="323"/>
    <x v="300"/>
    <x v="302"/>
    <x v="385"/>
    <x v="380"/>
    <x v="2"/>
  </r>
  <r>
    <x v="11"/>
    <x v="3"/>
    <x v="382"/>
    <x v="324"/>
    <x v="301"/>
    <x v="303"/>
    <x v="386"/>
    <x v="381"/>
    <x v="3"/>
  </r>
  <r>
    <x v="9"/>
    <x v="1"/>
    <x v="14"/>
    <x v="144"/>
    <x v="43"/>
    <x v="45"/>
    <x v="387"/>
    <x v="382"/>
    <x v="4"/>
  </r>
  <r>
    <x v="0"/>
    <x v="4"/>
    <x v="383"/>
    <x v="325"/>
    <x v="69"/>
    <x v="304"/>
    <x v="388"/>
    <x v="383"/>
    <x v="5"/>
  </r>
  <r>
    <x v="0"/>
    <x v="3"/>
    <x v="384"/>
    <x v="326"/>
    <x v="302"/>
    <x v="305"/>
    <x v="389"/>
    <x v="384"/>
    <x v="2"/>
  </r>
  <r>
    <x v="0"/>
    <x v="0"/>
    <x v="385"/>
    <x v="136"/>
    <x v="303"/>
    <x v="306"/>
    <x v="390"/>
    <x v="385"/>
    <x v="4"/>
  </r>
  <r>
    <x v="9"/>
    <x v="0"/>
    <x v="386"/>
    <x v="327"/>
    <x v="304"/>
    <x v="307"/>
    <x v="391"/>
    <x v="386"/>
    <x v="0"/>
  </r>
  <r>
    <x v="3"/>
    <x v="1"/>
    <x v="387"/>
    <x v="313"/>
    <x v="251"/>
    <x v="61"/>
    <x v="392"/>
    <x v="387"/>
    <x v="5"/>
  </r>
  <r>
    <x v="9"/>
    <x v="3"/>
    <x v="388"/>
    <x v="328"/>
    <x v="305"/>
    <x v="304"/>
    <x v="393"/>
    <x v="388"/>
    <x v="0"/>
  </r>
  <r>
    <x v="0"/>
    <x v="0"/>
    <x v="389"/>
    <x v="16"/>
    <x v="20"/>
    <x v="20"/>
    <x v="394"/>
    <x v="389"/>
    <x v="7"/>
  </r>
  <r>
    <x v="5"/>
    <x v="0"/>
    <x v="390"/>
    <x v="329"/>
    <x v="306"/>
    <x v="171"/>
    <x v="395"/>
    <x v="390"/>
    <x v="3"/>
  </r>
  <r>
    <x v="7"/>
    <x v="0"/>
    <x v="391"/>
    <x v="330"/>
    <x v="307"/>
    <x v="308"/>
    <x v="396"/>
    <x v="391"/>
    <x v="4"/>
  </r>
  <r>
    <x v="13"/>
    <x v="2"/>
    <x v="392"/>
    <x v="331"/>
    <x v="308"/>
    <x v="309"/>
    <x v="397"/>
    <x v="392"/>
    <x v="0"/>
  </r>
  <r>
    <x v="4"/>
    <x v="6"/>
    <x v="393"/>
    <x v="332"/>
    <x v="309"/>
    <x v="310"/>
    <x v="398"/>
    <x v="393"/>
    <x v="9"/>
  </r>
  <r>
    <x v="11"/>
    <x v="1"/>
    <x v="394"/>
    <x v="144"/>
    <x v="167"/>
    <x v="133"/>
    <x v="399"/>
    <x v="394"/>
    <x v="7"/>
  </r>
  <r>
    <x v="14"/>
    <x v="4"/>
    <x v="395"/>
    <x v="333"/>
    <x v="310"/>
    <x v="311"/>
    <x v="400"/>
    <x v="395"/>
    <x v="6"/>
  </r>
  <r>
    <x v="1"/>
    <x v="0"/>
    <x v="396"/>
    <x v="334"/>
    <x v="311"/>
    <x v="312"/>
    <x v="401"/>
    <x v="396"/>
    <x v="0"/>
  </r>
  <r>
    <x v="5"/>
    <x v="5"/>
    <x v="397"/>
    <x v="144"/>
    <x v="43"/>
    <x v="45"/>
    <x v="402"/>
    <x v="397"/>
    <x v="7"/>
  </r>
  <r>
    <x v="13"/>
    <x v="3"/>
    <x v="398"/>
    <x v="335"/>
    <x v="312"/>
    <x v="313"/>
    <x v="403"/>
    <x v="398"/>
    <x v="5"/>
  </r>
  <r>
    <x v="10"/>
    <x v="6"/>
    <x v="399"/>
    <x v="336"/>
    <x v="313"/>
    <x v="314"/>
    <x v="404"/>
    <x v="399"/>
    <x v="9"/>
  </r>
  <r>
    <x v="1"/>
    <x v="3"/>
    <x v="400"/>
    <x v="337"/>
    <x v="2"/>
    <x v="315"/>
    <x v="405"/>
    <x v="400"/>
    <x v="6"/>
  </r>
  <r>
    <x v="2"/>
    <x v="0"/>
    <x v="401"/>
    <x v="125"/>
    <x v="109"/>
    <x v="112"/>
    <x v="406"/>
    <x v="401"/>
    <x v="7"/>
  </r>
  <r>
    <x v="10"/>
    <x v="0"/>
    <x v="402"/>
    <x v="136"/>
    <x v="25"/>
    <x v="25"/>
    <x v="407"/>
    <x v="402"/>
    <x v="7"/>
  </r>
  <r>
    <x v="11"/>
    <x v="3"/>
    <x v="403"/>
    <x v="338"/>
    <x v="307"/>
    <x v="286"/>
    <x v="408"/>
    <x v="403"/>
    <x v="4"/>
  </r>
  <r>
    <x v="8"/>
    <x v="3"/>
    <x v="404"/>
    <x v="339"/>
    <x v="183"/>
    <x v="316"/>
    <x v="409"/>
    <x v="404"/>
    <x v="6"/>
  </r>
  <r>
    <x v="11"/>
    <x v="5"/>
    <x v="405"/>
    <x v="176"/>
    <x v="248"/>
    <x v="253"/>
    <x v="410"/>
    <x v="405"/>
    <x v="5"/>
  </r>
  <r>
    <x v="10"/>
    <x v="0"/>
    <x v="406"/>
    <x v="340"/>
    <x v="259"/>
    <x v="298"/>
    <x v="411"/>
    <x v="406"/>
    <x v="6"/>
  </r>
  <r>
    <x v="11"/>
    <x v="0"/>
    <x v="407"/>
    <x v="341"/>
    <x v="314"/>
    <x v="317"/>
    <x v="412"/>
    <x v="407"/>
    <x v="3"/>
  </r>
  <r>
    <x v="10"/>
    <x v="4"/>
    <x v="408"/>
    <x v="342"/>
    <x v="315"/>
    <x v="318"/>
    <x v="413"/>
    <x v="408"/>
    <x v="8"/>
  </r>
  <r>
    <x v="7"/>
    <x v="1"/>
    <x v="409"/>
    <x v="343"/>
    <x v="126"/>
    <x v="130"/>
    <x v="414"/>
    <x v="409"/>
    <x v="0"/>
  </r>
  <r>
    <x v="3"/>
    <x v="1"/>
    <x v="410"/>
    <x v="261"/>
    <x v="255"/>
    <x v="319"/>
    <x v="415"/>
    <x v="410"/>
    <x v="6"/>
  </r>
  <r>
    <x v="13"/>
    <x v="0"/>
    <x v="411"/>
    <x v="344"/>
    <x v="316"/>
    <x v="320"/>
    <x v="416"/>
    <x v="411"/>
    <x v="2"/>
  </r>
  <r>
    <x v="14"/>
    <x v="3"/>
    <x v="412"/>
    <x v="345"/>
    <x v="16"/>
    <x v="16"/>
    <x v="417"/>
    <x v="412"/>
    <x v="1"/>
  </r>
  <r>
    <x v="12"/>
    <x v="1"/>
    <x v="229"/>
    <x v="188"/>
    <x v="25"/>
    <x v="25"/>
    <x v="418"/>
    <x v="413"/>
    <x v="0"/>
  </r>
  <r>
    <x v="1"/>
    <x v="6"/>
    <x v="413"/>
    <x v="176"/>
    <x v="14"/>
    <x v="14"/>
    <x v="419"/>
    <x v="414"/>
    <x v="7"/>
  </r>
  <r>
    <x v="1"/>
    <x v="3"/>
    <x v="414"/>
    <x v="119"/>
    <x v="317"/>
    <x v="321"/>
    <x v="420"/>
    <x v="415"/>
    <x v="9"/>
  </r>
  <r>
    <x v="10"/>
    <x v="1"/>
    <x v="415"/>
    <x v="346"/>
    <x v="63"/>
    <x v="322"/>
    <x v="421"/>
    <x v="416"/>
    <x v="9"/>
  </r>
  <r>
    <x v="3"/>
    <x v="3"/>
    <x v="416"/>
    <x v="347"/>
    <x v="318"/>
    <x v="323"/>
    <x v="422"/>
    <x v="417"/>
    <x v="1"/>
  </r>
  <r>
    <x v="12"/>
    <x v="4"/>
    <x v="417"/>
    <x v="348"/>
    <x v="319"/>
    <x v="324"/>
    <x v="423"/>
    <x v="418"/>
    <x v="5"/>
  </r>
  <r>
    <x v="6"/>
    <x v="6"/>
    <x v="418"/>
    <x v="349"/>
    <x v="320"/>
    <x v="325"/>
    <x v="424"/>
    <x v="419"/>
    <x v="9"/>
  </r>
  <r>
    <x v="4"/>
    <x v="2"/>
    <x v="419"/>
    <x v="350"/>
    <x v="321"/>
    <x v="326"/>
    <x v="425"/>
    <x v="420"/>
    <x v="8"/>
  </r>
  <r>
    <x v="2"/>
    <x v="1"/>
    <x v="420"/>
    <x v="5"/>
    <x v="322"/>
    <x v="327"/>
    <x v="426"/>
    <x v="421"/>
    <x v="3"/>
  </r>
  <r>
    <x v="10"/>
    <x v="2"/>
    <x v="421"/>
    <x v="351"/>
    <x v="323"/>
    <x v="328"/>
    <x v="427"/>
    <x v="422"/>
    <x v="3"/>
  </r>
  <r>
    <x v="10"/>
    <x v="2"/>
    <x v="422"/>
    <x v="352"/>
    <x v="324"/>
    <x v="329"/>
    <x v="428"/>
    <x v="423"/>
    <x v="8"/>
  </r>
  <r>
    <x v="13"/>
    <x v="1"/>
    <x v="252"/>
    <x v="67"/>
    <x v="167"/>
    <x v="133"/>
    <x v="429"/>
    <x v="424"/>
    <x v="4"/>
  </r>
  <r>
    <x v="9"/>
    <x v="3"/>
    <x v="423"/>
    <x v="353"/>
    <x v="325"/>
    <x v="330"/>
    <x v="430"/>
    <x v="425"/>
    <x v="2"/>
  </r>
  <r>
    <x v="7"/>
    <x v="1"/>
    <x v="424"/>
    <x v="307"/>
    <x v="158"/>
    <x v="22"/>
    <x v="431"/>
    <x v="426"/>
    <x v="3"/>
  </r>
  <r>
    <x v="14"/>
    <x v="1"/>
    <x v="425"/>
    <x v="48"/>
    <x v="46"/>
    <x v="48"/>
    <x v="432"/>
    <x v="50"/>
    <x v="5"/>
  </r>
  <r>
    <x v="13"/>
    <x v="0"/>
    <x v="426"/>
    <x v="354"/>
    <x v="326"/>
    <x v="331"/>
    <x v="433"/>
    <x v="427"/>
    <x v="4"/>
  </r>
  <r>
    <x v="1"/>
    <x v="0"/>
    <x v="427"/>
    <x v="339"/>
    <x v="210"/>
    <x v="212"/>
    <x v="434"/>
    <x v="428"/>
    <x v="1"/>
  </r>
  <r>
    <x v="12"/>
    <x v="2"/>
    <x v="428"/>
    <x v="355"/>
    <x v="327"/>
    <x v="332"/>
    <x v="435"/>
    <x v="429"/>
    <x v="5"/>
  </r>
  <r>
    <x v="0"/>
    <x v="6"/>
    <x v="429"/>
    <x v="64"/>
    <x v="28"/>
    <x v="29"/>
    <x v="436"/>
    <x v="430"/>
    <x v="7"/>
  </r>
  <r>
    <x v="6"/>
    <x v="0"/>
    <x v="430"/>
    <x v="356"/>
    <x v="328"/>
    <x v="271"/>
    <x v="437"/>
    <x v="431"/>
    <x v="5"/>
  </r>
  <r>
    <x v="4"/>
    <x v="1"/>
    <x v="431"/>
    <x v="357"/>
    <x v="117"/>
    <x v="122"/>
    <x v="438"/>
    <x v="432"/>
    <x v="5"/>
  </r>
  <r>
    <x v="14"/>
    <x v="4"/>
    <x v="432"/>
    <x v="126"/>
    <x v="248"/>
    <x v="253"/>
    <x v="439"/>
    <x v="433"/>
    <x v="3"/>
  </r>
  <r>
    <x v="12"/>
    <x v="1"/>
    <x v="219"/>
    <x v="33"/>
    <x v="31"/>
    <x v="32"/>
    <x v="440"/>
    <x v="434"/>
    <x v="7"/>
  </r>
  <r>
    <x v="5"/>
    <x v="6"/>
    <x v="433"/>
    <x v="14"/>
    <x v="83"/>
    <x v="32"/>
    <x v="441"/>
    <x v="435"/>
    <x v="7"/>
  </r>
  <r>
    <x v="9"/>
    <x v="6"/>
    <x v="434"/>
    <x v="201"/>
    <x v="78"/>
    <x v="112"/>
    <x v="442"/>
    <x v="436"/>
    <x v="7"/>
  </r>
  <r>
    <x v="3"/>
    <x v="2"/>
    <x v="435"/>
    <x v="358"/>
    <x v="329"/>
    <x v="333"/>
    <x v="443"/>
    <x v="437"/>
    <x v="1"/>
  </r>
  <r>
    <x v="4"/>
    <x v="0"/>
    <x v="436"/>
    <x v="359"/>
    <x v="330"/>
    <x v="334"/>
    <x v="444"/>
    <x v="438"/>
    <x v="6"/>
  </r>
  <r>
    <x v="11"/>
    <x v="3"/>
    <x v="437"/>
    <x v="360"/>
    <x v="144"/>
    <x v="335"/>
    <x v="445"/>
    <x v="439"/>
    <x v="9"/>
  </r>
  <r>
    <x v="12"/>
    <x v="2"/>
    <x v="438"/>
    <x v="361"/>
    <x v="123"/>
    <x v="336"/>
    <x v="446"/>
    <x v="440"/>
    <x v="3"/>
  </r>
  <r>
    <x v="13"/>
    <x v="3"/>
    <x v="439"/>
    <x v="362"/>
    <x v="331"/>
    <x v="337"/>
    <x v="447"/>
    <x v="441"/>
    <x v="8"/>
  </r>
  <r>
    <x v="13"/>
    <x v="3"/>
    <x v="440"/>
    <x v="363"/>
    <x v="332"/>
    <x v="338"/>
    <x v="448"/>
    <x v="442"/>
    <x v="3"/>
  </r>
  <r>
    <x v="13"/>
    <x v="2"/>
    <x v="441"/>
    <x v="260"/>
    <x v="333"/>
    <x v="339"/>
    <x v="449"/>
    <x v="443"/>
    <x v="7"/>
  </r>
  <r>
    <x v="9"/>
    <x v="0"/>
    <x v="442"/>
    <x v="364"/>
    <x v="303"/>
    <x v="306"/>
    <x v="450"/>
    <x v="444"/>
    <x v="4"/>
  </r>
  <r>
    <x v="6"/>
    <x v="4"/>
    <x v="443"/>
    <x v="365"/>
    <x v="334"/>
    <x v="340"/>
    <x v="451"/>
    <x v="445"/>
    <x v="0"/>
  </r>
  <r>
    <x v="10"/>
    <x v="4"/>
    <x v="444"/>
    <x v="366"/>
    <x v="335"/>
    <x v="341"/>
    <x v="452"/>
    <x v="446"/>
    <x v="2"/>
  </r>
  <r>
    <x v="2"/>
    <x v="5"/>
    <x v="445"/>
    <x v="188"/>
    <x v="120"/>
    <x v="125"/>
    <x v="453"/>
    <x v="447"/>
    <x v="7"/>
  </r>
  <r>
    <x v="1"/>
    <x v="1"/>
    <x v="446"/>
    <x v="22"/>
    <x v="29"/>
    <x v="120"/>
    <x v="454"/>
    <x v="448"/>
    <x v="3"/>
  </r>
  <r>
    <x v="0"/>
    <x v="3"/>
    <x v="447"/>
    <x v="367"/>
    <x v="336"/>
    <x v="342"/>
    <x v="455"/>
    <x v="449"/>
    <x v="3"/>
  </r>
  <r>
    <x v="9"/>
    <x v="1"/>
    <x v="448"/>
    <x v="368"/>
    <x v="337"/>
    <x v="308"/>
    <x v="456"/>
    <x v="450"/>
    <x v="9"/>
  </r>
  <r>
    <x v="7"/>
    <x v="1"/>
    <x v="449"/>
    <x v="30"/>
    <x v="14"/>
    <x v="14"/>
    <x v="457"/>
    <x v="451"/>
    <x v="4"/>
  </r>
  <r>
    <x v="10"/>
    <x v="2"/>
    <x v="450"/>
    <x v="369"/>
    <x v="338"/>
    <x v="75"/>
    <x v="458"/>
    <x v="452"/>
    <x v="4"/>
  </r>
  <r>
    <x v="0"/>
    <x v="0"/>
    <x v="451"/>
    <x v="370"/>
    <x v="339"/>
    <x v="343"/>
    <x v="459"/>
    <x v="453"/>
    <x v="2"/>
  </r>
  <r>
    <x v="7"/>
    <x v="0"/>
    <x v="452"/>
    <x v="371"/>
    <x v="340"/>
    <x v="344"/>
    <x v="460"/>
    <x v="454"/>
    <x v="2"/>
  </r>
  <r>
    <x v="13"/>
    <x v="0"/>
    <x v="453"/>
    <x v="372"/>
    <x v="341"/>
    <x v="212"/>
    <x v="461"/>
    <x v="455"/>
    <x v="3"/>
  </r>
  <r>
    <x v="1"/>
    <x v="3"/>
    <x v="454"/>
    <x v="373"/>
    <x v="342"/>
    <x v="345"/>
    <x v="462"/>
    <x v="456"/>
    <x v="0"/>
  </r>
  <r>
    <x v="7"/>
    <x v="2"/>
    <x v="429"/>
    <x v="216"/>
    <x v="343"/>
    <x v="346"/>
    <x v="463"/>
    <x v="457"/>
    <x v="4"/>
  </r>
  <r>
    <x v="11"/>
    <x v="1"/>
    <x v="455"/>
    <x v="374"/>
    <x v="42"/>
    <x v="154"/>
    <x v="464"/>
    <x v="458"/>
    <x v="9"/>
  </r>
  <r>
    <x v="8"/>
    <x v="2"/>
    <x v="456"/>
    <x v="375"/>
    <x v="344"/>
    <x v="347"/>
    <x v="465"/>
    <x v="459"/>
    <x v="0"/>
  </r>
  <r>
    <x v="10"/>
    <x v="1"/>
    <x v="457"/>
    <x v="79"/>
    <x v="76"/>
    <x v="201"/>
    <x v="466"/>
    <x v="460"/>
    <x v="1"/>
  </r>
  <r>
    <x v="5"/>
    <x v="2"/>
    <x v="458"/>
    <x v="376"/>
    <x v="345"/>
    <x v="348"/>
    <x v="467"/>
    <x v="461"/>
    <x v="8"/>
  </r>
  <r>
    <x v="5"/>
    <x v="1"/>
    <x v="219"/>
    <x v="64"/>
    <x v="60"/>
    <x v="63"/>
    <x v="468"/>
    <x v="462"/>
    <x v="7"/>
  </r>
  <r>
    <x v="2"/>
    <x v="5"/>
    <x v="459"/>
    <x v="377"/>
    <x v="78"/>
    <x v="25"/>
    <x v="469"/>
    <x v="463"/>
    <x v="5"/>
  </r>
  <r>
    <x v="14"/>
    <x v="4"/>
    <x v="460"/>
    <x v="378"/>
    <x v="346"/>
    <x v="195"/>
    <x v="470"/>
    <x v="464"/>
    <x v="0"/>
  </r>
  <r>
    <x v="2"/>
    <x v="3"/>
    <x v="461"/>
    <x v="227"/>
    <x v="347"/>
    <x v="165"/>
    <x v="471"/>
    <x v="465"/>
    <x v="7"/>
  </r>
  <r>
    <x v="8"/>
    <x v="3"/>
    <x v="462"/>
    <x v="379"/>
    <x v="348"/>
    <x v="349"/>
    <x v="472"/>
    <x v="466"/>
    <x v="7"/>
  </r>
  <r>
    <x v="10"/>
    <x v="2"/>
    <x v="463"/>
    <x v="380"/>
    <x v="349"/>
    <x v="350"/>
    <x v="473"/>
    <x v="467"/>
    <x v="1"/>
  </r>
  <r>
    <x v="14"/>
    <x v="0"/>
    <x v="464"/>
    <x v="154"/>
    <x v="61"/>
    <x v="246"/>
    <x v="474"/>
    <x v="468"/>
    <x v="8"/>
  </r>
  <r>
    <x v="12"/>
    <x v="1"/>
    <x v="465"/>
    <x v="260"/>
    <x v="120"/>
    <x v="125"/>
    <x v="475"/>
    <x v="469"/>
    <x v="2"/>
  </r>
  <r>
    <x v="9"/>
    <x v="2"/>
    <x v="466"/>
    <x v="136"/>
    <x v="266"/>
    <x v="351"/>
    <x v="476"/>
    <x v="470"/>
    <x v="7"/>
  </r>
  <r>
    <x v="4"/>
    <x v="4"/>
    <x v="467"/>
    <x v="381"/>
    <x v="350"/>
    <x v="352"/>
    <x v="477"/>
    <x v="471"/>
    <x v="0"/>
  </r>
  <r>
    <x v="7"/>
    <x v="4"/>
    <x v="468"/>
    <x v="382"/>
    <x v="351"/>
    <x v="353"/>
    <x v="478"/>
    <x v="472"/>
    <x v="8"/>
  </r>
  <r>
    <x v="0"/>
    <x v="1"/>
    <x v="469"/>
    <x v="233"/>
    <x v="150"/>
    <x v="16"/>
    <x v="479"/>
    <x v="473"/>
    <x v="9"/>
  </r>
  <r>
    <x v="7"/>
    <x v="4"/>
    <x v="70"/>
    <x v="383"/>
    <x v="352"/>
    <x v="354"/>
    <x v="480"/>
    <x v="474"/>
    <x v="4"/>
  </r>
  <r>
    <x v="7"/>
    <x v="2"/>
    <x v="470"/>
    <x v="280"/>
    <x v="72"/>
    <x v="76"/>
    <x v="481"/>
    <x v="475"/>
    <x v="7"/>
  </r>
  <r>
    <x v="1"/>
    <x v="2"/>
    <x v="434"/>
    <x v="264"/>
    <x v="322"/>
    <x v="327"/>
    <x v="482"/>
    <x v="476"/>
    <x v="4"/>
  </r>
  <r>
    <x v="13"/>
    <x v="0"/>
    <x v="471"/>
    <x v="384"/>
    <x v="353"/>
    <x v="355"/>
    <x v="483"/>
    <x v="477"/>
    <x v="5"/>
  </r>
  <r>
    <x v="2"/>
    <x v="3"/>
    <x v="472"/>
    <x v="385"/>
    <x v="354"/>
    <x v="356"/>
    <x v="484"/>
    <x v="478"/>
    <x v="8"/>
  </r>
  <r>
    <x v="4"/>
    <x v="5"/>
    <x v="29"/>
    <x v="205"/>
    <x v="161"/>
    <x v="154"/>
    <x v="485"/>
    <x v="479"/>
    <x v="5"/>
  </r>
  <r>
    <x v="8"/>
    <x v="4"/>
    <x v="473"/>
    <x v="386"/>
    <x v="355"/>
    <x v="357"/>
    <x v="486"/>
    <x v="480"/>
    <x v="2"/>
  </r>
  <r>
    <x v="4"/>
    <x v="2"/>
    <x v="474"/>
    <x v="387"/>
    <x v="356"/>
    <x v="358"/>
    <x v="487"/>
    <x v="481"/>
    <x v="0"/>
  </r>
  <r>
    <x v="8"/>
    <x v="4"/>
    <x v="475"/>
    <x v="388"/>
    <x v="357"/>
    <x v="359"/>
    <x v="488"/>
    <x v="482"/>
    <x v="6"/>
  </r>
  <r>
    <x v="2"/>
    <x v="4"/>
    <x v="476"/>
    <x v="389"/>
    <x v="358"/>
    <x v="360"/>
    <x v="489"/>
    <x v="483"/>
    <x v="6"/>
  </r>
  <r>
    <x v="5"/>
    <x v="1"/>
    <x v="477"/>
    <x v="29"/>
    <x v="232"/>
    <x v="361"/>
    <x v="490"/>
    <x v="484"/>
    <x v="1"/>
  </r>
  <r>
    <x v="14"/>
    <x v="2"/>
    <x v="84"/>
    <x v="48"/>
    <x v="46"/>
    <x v="48"/>
    <x v="491"/>
    <x v="50"/>
    <x v="7"/>
  </r>
  <r>
    <x v="7"/>
    <x v="3"/>
    <x v="478"/>
    <x v="390"/>
    <x v="359"/>
    <x v="362"/>
    <x v="492"/>
    <x v="485"/>
    <x v="8"/>
  </r>
  <r>
    <x v="6"/>
    <x v="2"/>
    <x v="479"/>
    <x v="391"/>
    <x v="360"/>
    <x v="182"/>
    <x v="493"/>
    <x v="486"/>
    <x v="6"/>
  </r>
  <r>
    <x v="8"/>
    <x v="4"/>
    <x v="480"/>
    <x v="392"/>
    <x v="361"/>
    <x v="363"/>
    <x v="494"/>
    <x v="487"/>
    <x v="0"/>
  </r>
  <r>
    <x v="4"/>
    <x v="3"/>
    <x v="481"/>
    <x v="393"/>
    <x v="362"/>
    <x v="364"/>
    <x v="495"/>
    <x v="488"/>
    <x v="0"/>
  </r>
  <r>
    <x v="12"/>
    <x v="4"/>
    <x v="482"/>
    <x v="394"/>
    <x v="363"/>
    <x v="365"/>
    <x v="496"/>
    <x v="489"/>
    <x v="6"/>
  </r>
  <r>
    <x v="9"/>
    <x v="3"/>
    <x v="483"/>
    <x v="395"/>
    <x v="299"/>
    <x v="366"/>
    <x v="497"/>
    <x v="490"/>
    <x v="4"/>
  </r>
  <r>
    <x v="12"/>
    <x v="4"/>
    <x v="484"/>
    <x v="396"/>
    <x v="364"/>
    <x v="367"/>
    <x v="498"/>
    <x v="491"/>
    <x v="2"/>
  </r>
  <r>
    <x v="13"/>
    <x v="1"/>
    <x v="485"/>
    <x v="397"/>
    <x v="365"/>
    <x v="368"/>
    <x v="499"/>
    <x v="492"/>
    <x v="3"/>
  </r>
  <r>
    <x v="6"/>
    <x v="1"/>
    <x v="486"/>
    <x v="398"/>
    <x v="23"/>
    <x v="306"/>
    <x v="500"/>
    <x v="493"/>
    <x v="3"/>
  </r>
  <r>
    <x v="12"/>
    <x v="3"/>
    <x v="487"/>
    <x v="399"/>
    <x v="366"/>
    <x v="369"/>
    <x v="501"/>
    <x v="494"/>
    <x v="3"/>
  </r>
  <r>
    <x v="9"/>
    <x v="2"/>
    <x v="488"/>
    <x v="400"/>
    <x v="367"/>
    <x v="370"/>
    <x v="502"/>
    <x v="495"/>
    <x v="8"/>
  </r>
  <r>
    <x v="10"/>
    <x v="3"/>
    <x v="489"/>
    <x v="401"/>
    <x v="368"/>
    <x v="371"/>
    <x v="503"/>
    <x v="496"/>
    <x v="9"/>
  </r>
  <r>
    <x v="3"/>
    <x v="1"/>
    <x v="490"/>
    <x v="402"/>
    <x v="23"/>
    <x v="306"/>
    <x v="504"/>
    <x v="497"/>
    <x v="3"/>
  </r>
  <r>
    <x v="14"/>
    <x v="2"/>
    <x v="491"/>
    <x v="403"/>
    <x v="369"/>
    <x v="336"/>
    <x v="505"/>
    <x v="498"/>
    <x v="2"/>
  </r>
  <r>
    <x v="14"/>
    <x v="2"/>
    <x v="492"/>
    <x v="82"/>
    <x v="370"/>
    <x v="54"/>
    <x v="506"/>
    <x v="499"/>
    <x v="0"/>
  </r>
  <r>
    <x v="6"/>
    <x v="2"/>
    <x v="493"/>
    <x v="404"/>
    <x v="50"/>
    <x v="52"/>
    <x v="507"/>
    <x v="500"/>
    <x v="1"/>
  </r>
  <r>
    <x v="8"/>
    <x v="4"/>
    <x v="494"/>
    <x v="405"/>
    <x v="371"/>
    <x v="372"/>
    <x v="508"/>
    <x v="501"/>
    <x v="1"/>
  </r>
  <r>
    <x v="9"/>
    <x v="4"/>
    <x v="495"/>
    <x v="406"/>
    <x v="372"/>
    <x v="373"/>
    <x v="509"/>
    <x v="502"/>
    <x v="2"/>
  </r>
  <r>
    <x v="11"/>
    <x v="3"/>
    <x v="496"/>
    <x v="407"/>
    <x v="277"/>
    <x v="374"/>
    <x v="510"/>
    <x v="503"/>
    <x v="6"/>
  </r>
  <r>
    <x v="9"/>
    <x v="2"/>
    <x v="497"/>
    <x v="77"/>
    <x v="373"/>
    <x v="375"/>
    <x v="511"/>
    <x v="351"/>
    <x v="4"/>
  </r>
  <r>
    <x v="0"/>
    <x v="2"/>
    <x v="498"/>
    <x v="345"/>
    <x v="29"/>
    <x v="120"/>
    <x v="512"/>
    <x v="504"/>
    <x v="4"/>
  </r>
  <r>
    <x v="5"/>
    <x v="4"/>
    <x v="257"/>
    <x v="145"/>
    <x v="121"/>
    <x v="48"/>
    <x v="513"/>
    <x v="50"/>
    <x v="7"/>
  </r>
  <r>
    <x v="11"/>
    <x v="0"/>
    <x v="499"/>
    <x v="408"/>
    <x v="374"/>
    <x v="376"/>
    <x v="514"/>
    <x v="505"/>
    <x v="8"/>
  </r>
  <r>
    <x v="2"/>
    <x v="2"/>
    <x v="500"/>
    <x v="409"/>
    <x v="375"/>
    <x v="377"/>
    <x v="515"/>
    <x v="506"/>
    <x v="2"/>
  </r>
  <r>
    <x v="14"/>
    <x v="3"/>
    <x v="501"/>
    <x v="273"/>
    <x v="29"/>
    <x v="120"/>
    <x v="516"/>
    <x v="507"/>
    <x v="5"/>
  </r>
  <r>
    <x v="13"/>
    <x v="5"/>
    <x v="502"/>
    <x v="29"/>
    <x v="53"/>
    <x v="55"/>
    <x v="517"/>
    <x v="508"/>
    <x v="7"/>
  </r>
  <r>
    <x v="14"/>
    <x v="4"/>
    <x v="503"/>
    <x v="78"/>
    <x v="83"/>
    <x v="87"/>
    <x v="518"/>
    <x v="509"/>
    <x v="1"/>
  </r>
  <r>
    <x v="13"/>
    <x v="1"/>
    <x v="504"/>
    <x v="410"/>
    <x v="79"/>
    <x v="83"/>
    <x v="519"/>
    <x v="510"/>
    <x v="2"/>
  </r>
  <r>
    <x v="6"/>
    <x v="1"/>
    <x v="505"/>
    <x v="411"/>
    <x v="376"/>
    <x v="184"/>
    <x v="520"/>
    <x v="511"/>
    <x v="9"/>
  </r>
  <r>
    <x v="14"/>
    <x v="1"/>
    <x v="506"/>
    <x v="48"/>
    <x v="46"/>
    <x v="48"/>
    <x v="521"/>
    <x v="50"/>
    <x v="1"/>
  </r>
  <r>
    <x v="11"/>
    <x v="2"/>
    <x v="507"/>
    <x v="412"/>
    <x v="377"/>
    <x v="378"/>
    <x v="522"/>
    <x v="512"/>
    <x v="2"/>
  </r>
  <r>
    <x v="2"/>
    <x v="1"/>
    <x v="508"/>
    <x v="413"/>
    <x v="378"/>
    <x v="379"/>
    <x v="523"/>
    <x v="513"/>
    <x v="0"/>
  </r>
  <r>
    <x v="10"/>
    <x v="0"/>
    <x v="509"/>
    <x v="414"/>
    <x v="379"/>
    <x v="380"/>
    <x v="524"/>
    <x v="514"/>
    <x v="3"/>
  </r>
  <r>
    <x v="13"/>
    <x v="4"/>
    <x v="510"/>
    <x v="415"/>
    <x v="380"/>
    <x v="381"/>
    <x v="525"/>
    <x v="515"/>
    <x v="2"/>
  </r>
  <r>
    <x v="7"/>
    <x v="4"/>
    <x v="511"/>
    <x v="416"/>
    <x v="381"/>
    <x v="382"/>
    <x v="526"/>
    <x v="516"/>
    <x v="0"/>
  </r>
  <r>
    <x v="4"/>
    <x v="2"/>
    <x v="512"/>
    <x v="417"/>
    <x v="382"/>
    <x v="383"/>
    <x v="527"/>
    <x v="517"/>
    <x v="6"/>
  </r>
  <r>
    <x v="13"/>
    <x v="4"/>
    <x v="513"/>
    <x v="418"/>
    <x v="383"/>
    <x v="384"/>
    <x v="528"/>
    <x v="518"/>
    <x v="5"/>
  </r>
  <r>
    <x v="4"/>
    <x v="4"/>
    <x v="514"/>
    <x v="419"/>
    <x v="384"/>
    <x v="385"/>
    <x v="529"/>
    <x v="519"/>
    <x v="6"/>
  </r>
  <r>
    <x v="9"/>
    <x v="1"/>
    <x v="515"/>
    <x v="77"/>
    <x v="385"/>
    <x v="30"/>
    <x v="530"/>
    <x v="520"/>
    <x v="6"/>
  </r>
  <r>
    <x v="1"/>
    <x v="1"/>
    <x v="516"/>
    <x v="252"/>
    <x v="333"/>
    <x v="386"/>
    <x v="531"/>
    <x v="521"/>
    <x v="5"/>
  </r>
  <r>
    <x v="8"/>
    <x v="1"/>
    <x v="517"/>
    <x v="420"/>
    <x v="386"/>
    <x v="26"/>
    <x v="532"/>
    <x v="522"/>
    <x v="0"/>
  </r>
  <r>
    <x v="8"/>
    <x v="1"/>
    <x v="518"/>
    <x v="421"/>
    <x v="63"/>
    <x v="322"/>
    <x v="533"/>
    <x v="523"/>
    <x v="8"/>
  </r>
  <r>
    <x v="10"/>
    <x v="2"/>
    <x v="519"/>
    <x v="422"/>
    <x v="387"/>
    <x v="387"/>
    <x v="534"/>
    <x v="524"/>
    <x v="2"/>
  </r>
  <r>
    <x v="5"/>
    <x v="4"/>
    <x v="520"/>
    <x v="423"/>
    <x v="388"/>
    <x v="388"/>
    <x v="535"/>
    <x v="525"/>
    <x v="8"/>
  </r>
  <r>
    <x v="2"/>
    <x v="3"/>
    <x v="521"/>
    <x v="424"/>
    <x v="389"/>
    <x v="389"/>
    <x v="536"/>
    <x v="526"/>
    <x v="6"/>
  </r>
  <r>
    <x v="5"/>
    <x v="2"/>
    <x v="522"/>
    <x v="58"/>
    <x v="390"/>
    <x v="128"/>
    <x v="537"/>
    <x v="527"/>
    <x v="3"/>
  </r>
  <r>
    <x v="13"/>
    <x v="3"/>
    <x v="523"/>
    <x v="425"/>
    <x v="391"/>
    <x v="390"/>
    <x v="538"/>
    <x v="528"/>
    <x v="0"/>
  </r>
  <r>
    <x v="1"/>
    <x v="3"/>
    <x v="415"/>
    <x v="168"/>
    <x v="392"/>
    <x v="391"/>
    <x v="539"/>
    <x v="529"/>
    <x v="4"/>
  </r>
  <r>
    <x v="4"/>
    <x v="1"/>
    <x v="524"/>
    <x v="426"/>
    <x v="306"/>
    <x v="392"/>
    <x v="540"/>
    <x v="530"/>
    <x v="2"/>
  </r>
  <r>
    <x v="12"/>
    <x v="0"/>
    <x v="525"/>
    <x v="427"/>
    <x v="210"/>
    <x v="255"/>
    <x v="541"/>
    <x v="531"/>
    <x v="5"/>
  </r>
  <r>
    <x v="0"/>
    <x v="6"/>
    <x v="526"/>
    <x v="428"/>
    <x v="393"/>
    <x v="393"/>
    <x v="542"/>
    <x v="532"/>
    <x v="9"/>
  </r>
  <r>
    <x v="0"/>
    <x v="1"/>
    <x v="527"/>
    <x v="313"/>
    <x v="394"/>
    <x v="394"/>
    <x v="543"/>
    <x v="533"/>
    <x v="0"/>
  </r>
  <r>
    <x v="10"/>
    <x v="2"/>
    <x v="528"/>
    <x v="429"/>
    <x v="395"/>
    <x v="395"/>
    <x v="544"/>
    <x v="534"/>
    <x v="0"/>
  </r>
  <r>
    <x v="6"/>
    <x v="0"/>
    <x v="529"/>
    <x v="430"/>
    <x v="396"/>
    <x v="396"/>
    <x v="545"/>
    <x v="535"/>
    <x v="0"/>
  </r>
  <r>
    <x v="4"/>
    <x v="0"/>
    <x v="530"/>
    <x v="431"/>
    <x v="397"/>
    <x v="397"/>
    <x v="546"/>
    <x v="536"/>
    <x v="5"/>
  </r>
  <r>
    <x v="0"/>
    <x v="2"/>
    <x v="531"/>
    <x v="141"/>
    <x v="398"/>
    <x v="398"/>
    <x v="547"/>
    <x v="537"/>
    <x v="3"/>
  </r>
  <r>
    <x v="13"/>
    <x v="4"/>
    <x v="532"/>
    <x v="432"/>
    <x v="399"/>
    <x v="399"/>
    <x v="548"/>
    <x v="538"/>
    <x v="0"/>
  </r>
  <r>
    <x v="1"/>
    <x v="3"/>
    <x v="533"/>
    <x v="433"/>
    <x v="400"/>
    <x v="184"/>
    <x v="549"/>
    <x v="539"/>
    <x v="7"/>
  </r>
  <r>
    <x v="10"/>
    <x v="5"/>
    <x v="534"/>
    <x v="22"/>
    <x v="365"/>
    <x v="400"/>
    <x v="550"/>
    <x v="540"/>
    <x v="7"/>
  </r>
  <r>
    <x v="11"/>
    <x v="6"/>
    <x v="535"/>
    <x v="434"/>
    <x v="401"/>
    <x v="401"/>
    <x v="551"/>
    <x v="541"/>
    <x v="9"/>
  </r>
  <r>
    <x v="10"/>
    <x v="3"/>
    <x v="536"/>
    <x v="435"/>
    <x v="402"/>
    <x v="402"/>
    <x v="552"/>
    <x v="542"/>
    <x v="2"/>
  </r>
  <r>
    <x v="4"/>
    <x v="2"/>
    <x v="537"/>
    <x v="436"/>
    <x v="403"/>
    <x v="403"/>
    <x v="553"/>
    <x v="543"/>
    <x v="2"/>
  </r>
  <r>
    <x v="8"/>
    <x v="1"/>
    <x v="538"/>
    <x v="125"/>
    <x v="199"/>
    <x v="264"/>
    <x v="554"/>
    <x v="544"/>
    <x v="6"/>
  </r>
  <r>
    <x v="3"/>
    <x v="3"/>
    <x v="539"/>
    <x v="437"/>
    <x v="404"/>
    <x v="404"/>
    <x v="555"/>
    <x v="545"/>
    <x v="9"/>
  </r>
  <r>
    <x v="14"/>
    <x v="0"/>
    <x v="540"/>
    <x v="145"/>
    <x v="31"/>
    <x v="32"/>
    <x v="556"/>
    <x v="546"/>
    <x v="4"/>
  </r>
  <r>
    <x v="0"/>
    <x v="5"/>
    <x v="541"/>
    <x v="135"/>
    <x v="167"/>
    <x v="133"/>
    <x v="557"/>
    <x v="547"/>
    <x v="5"/>
  </r>
  <r>
    <x v="8"/>
    <x v="2"/>
    <x v="542"/>
    <x v="438"/>
    <x v="405"/>
    <x v="405"/>
    <x v="558"/>
    <x v="548"/>
    <x v="8"/>
  </r>
  <r>
    <x v="3"/>
    <x v="1"/>
    <x v="311"/>
    <x v="98"/>
    <x v="406"/>
    <x v="31"/>
    <x v="559"/>
    <x v="549"/>
    <x v="0"/>
  </r>
  <r>
    <x v="13"/>
    <x v="1"/>
    <x v="543"/>
    <x v="27"/>
    <x v="28"/>
    <x v="29"/>
    <x v="560"/>
    <x v="550"/>
    <x v="7"/>
  </r>
  <r>
    <x v="8"/>
    <x v="0"/>
    <x v="544"/>
    <x v="439"/>
    <x v="407"/>
    <x v="406"/>
    <x v="561"/>
    <x v="551"/>
    <x v="2"/>
  </r>
  <r>
    <x v="5"/>
    <x v="0"/>
    <x v="545"/>
    <x v="440"/>
    <x v="408"/>
    <x v="407"/>
    <x v="562"/>
    <x v="552"/>
    <x v="6"/>
  </r>
  <r>
    <x v="1"/>
    <x v="0"/>
    <x v="546"/>
    <x v="441"/>
    <x v="409"/>
    <x v="408"/>
    <x v="563"/>
    <x v="553"/>
    <x v="8"/>
  </r>
  <r>
    <x v="13"/>
    <x v="0"/>
    <x v="547"/>
    <x v="442"/>
    <x v="410"/>
    <x v="409"/>
    <x v="564"/>
    <x v="554"/>
    <x v="1"/>
  </r>
  <r>
    <x v="11"/>
    <x v="0"/>
    <x v="548"/>
    <x v="25"/>
    <x v="76"/>
    <x v="80"/>
    <x v="565"/>
    <x v="555"/>
    <x v="4"/>
  </r>
  <r>
    <x v="0"/>
    <x v="1"/>
    <x v="549"/>
    <x v="275"/>
    <x v="411"/>
    <x v="410"/>
    <x v="566"/>
    <x v="556"/>
    <x v="2"/>
  </r>
  <r>
    <x v="12"/>
    <x v="0"/>
    <x v="550"/>
    <x v="1"/>
    <x v="75"/>
    <x v="79"/>
    <x v="567"/>
    <x v="557"/>
    <x v="1"/>
  </r>
  <r>
    <x v="14"/>
    <x v="1"/>
    <x v="551"/>
    <x v="78"/>
    <x v="31"/>
    <x v="32"/>
    <x v="568"/>
    <x v="558"/>
    <x v="0"/>
  </r>
  <r>
    <x v="2"/>
    <x v="1"/>
    <x v="552"/>
    <x v="31"/>
    <x v="66"/>
    <x v="70"/>
    <x v="569"/>
    <x v="559"/>
    <x v="6"/>
  </r>
  <r>
    <x v="14"/>
    <x v="1"/>
    <x v="50"/>
    <x v="48"/>
    <x v="46"/>
    <x v="48"/>
    <x v="50"/>
    <x v="50"/>
    <x v="4"/>
  </r>
  <r>
    <x v="3"/>
    <x v="4"/>
    <x v="553"/>
    <x v="443"/>
    <x v="412"/>
    <x v="411"/>
    <x v="570"/>
    <x v="560"/>
    <x v="3"/>
  </r>
  <r>
    <x v="0"/>
    <x v="4"/>
    <x v="554"/>
    <x v="230"/>
    <x v="413"/>
    <x v="412"/>
    <x v="571"/>
    <x v="561"/>
    <x v="3"/>
  </r>
  <r>
    <x v="11"/>
    <x v="0"/>
    <x v="555"/>
    <x v="43"/>
    <x v="280"/>
    <x v="413"/>
    <x v="572"/>
    <x v="562"/>
    <x v="1"/>
  </r>
  <r>
    <x v="11"/>
    <x v="1"/>
    <x v="556"/>
    <x v="55"/>
    <x v="16"/>
    <x v="361"/>
    <x v="573"/>
    <x v="563"/>
    <x v="6"/>
  </r>
  <r>
    <x v="1"/>
    <x v="0"/>
    <x v="517"/>
    <x v="444"/>
    <x v="150"/>
    <x v="16"/>
    <x v="574"/>
    <x v="564"/>
    <x v="7"/>
  </r>
  <r>
    <x v="9"/>
    <x v="1"/>
    <x v="297"/>
    <x v="260"/>
    <x v="158"/>
    <x v="22"/>
    <x v="575"/>
    <x v="565"/>
    <x v="5"/>
  </r>
  <r>
    <x v="10"/>
    <x v="4"/>
    <x v="557"/>
    <x v="445"/>
    <x v="414"/>
    <x v="414"/>
    <x v="576"/>
    <x v="566"/>
    <x v="3"/>
  </r>
  <r>
    <x v="14"/>
    <x v="3"/>
    <x v="558"/>
    <x v="313"/>
    <x v="18"/>
    <x v="351"/>
    <x v="577"/>
    <x v="567"/>
    <x v="8"/>
  </r>
  <r>
    <x v="8"/>
    <x v="0"/>
    <x v="559"/>
    <x v="446"/>
    <x v="415"/>
    <x v="415"/>
    <x v="578"/>
    <x v="568"/>
    <x v="6"/>
  </r>
  <r>
    <x v="9"/>
    <x v="0"/>
    <x v="560"/>
    <x v="447"/>
    <x v="416"/>
    <x v="416"/>
    <x v="579"/>
    <x v="569"/>
    <x v="2"/>
  </r>
  <r>
    <x v="2"/>
    <x v="1"/>
    <x v="561"/>
    <x v="426"/>
    <x v="417"/>
    <x v="417"/>
    <x v="580"/>
    <x v="570"/>
    <x v="2"/>
  </r>
  <r>
    <x v="13"/>
    <x v="0"/>
    <x v="562"/>
    <x v="448"/>
    <x v="232"/>
    <x v="235"/>
    <x v="581"/>
    <x v="571"/>
    <x v="7"/>
  </r>
  <r>
    <x v="11"/>
    <x v="4"/>
    <x v="563"/>
    <x v="449"/>
    <x v="92"/>
    <x v="418"/>
    <x v="582"/>
    <x v="572"/>
    <x v="5"/>
  </r>
  <r>
    <x v="8"/>
    <x v="6"/>
    <x v="564"/>
    <x v="450"/>
    <x v="418"/>
    <x v="419"/>
    <x v="583"/>
    <x v="573"/>
    <x v="9"/>
  </r>
  <r>
    <x v="1"/>
    <x v="3"/>
    <x v="565"/>
    <x v="451"/>
    <x v="419"/>
    <x v="420"/>
    <x v="584"/>
    <x v="574"/>
    <x v="8"/>
  </r>
  <r>
    <x v="1"/>
    <x v="1"/>
    <x v="566"/>
    <x v="193"/>
    <x v="144"/>
    <x v="26"/>
    <x v="585"/>
    <x v="575"/>
    <x v="8"/>
  </r>
  <r>
    <x v="13"/>
    <x v="4"/>
    <x v="567"/>
    <x v="452"/>
    <x v="420"/>
    <x v="421"/>
    <x v="586"/>
    <x v="576"/>
    <x v="6"/>
  </r>
  <r>
    <x v="11"/>
    <x v="2"/>
    <x v="117"/>
    <x v="453"/>
    <x v="421"/>
    <x v="422"/>
    <x v="587"/>
    <x v="577"/>
    <x v="5"/>
  </r>
  <r>
    <x v="3"/>
    <x v="2"/>
    <x v="568"/>
    <x v="454"/>
    <x v="422"/>
    <x v="423"/>
    <x v="588"/>
    <x v="578"/>
    <x v="0"/>
  </r>
  <r>
    <x v="0"/>
    <x v="3"/>
    <x v="569"/>
    <x v="229"/>
    <x v="423"/>
    <x v="424"/>
    <x v="589"/>
    <x v="579"/>
    <x v="9"/>
  </r>
  <r>
    <x v="9"/>
    <x v="1"/>
    <x v="570"/>
    <x v="302"/>
    <x v="424"/>
    <x v="111"/>
    <x v="590"/>
    <x v="580"/>
    <x v="2"/>
  </r>
  <r>
    <x v="8"/>
    <x v="1"/>
    <x v="571"/>
    <x v="455"/>
    <x v="425"/>
    <x v="425"/>
    <x v="591"/>
    <x v="581"/>
    <x v="2"/>
  </r>
  <r>
    <x v="10"/>
    <x v="1"/>
    <x v="572"/>
    <x v="269"/>
    <x v="284"/>
    <x v="426"/>
    <x v="592"/>
    <x v="582"/>
    <x v="3"/>
  </r>
  <r>
    <x v="14"/>
    <x v="0"/>
    <x v="573"/>
    <x v="144"/>
    <x v="248"/>
    <x v="253"/>
    <x v="593"/>
    <x v="583"/>
    <x v="3"/>
  </r>
  <r>
    <x v="10"/>
    <x v="1"/>
    <x v="574"/>
    <x v="236"/>
    <x v="166"/>
    <x v="427"/>
    <x v="594"/>
    <x v="584"/>
    <x v="2"/>
  </r>
  <r>
    <x v="2"/>
    <x v="3"/>
    <x v="575"/>
    <x v="456"/>
    <x v="426"/>
    <x v="428"/>
    <x v="595"/>
    <x v="585"/>
    <x v="1"/>
  </r>
  <r>
    <x v="8"/>
    <x v="5"/>
    <x v="576"/>
    <x v="345"/>
    <x v="42"/>
    <x v="235"/>
    <x v="596"/>
    <x v="586"/>
    <x v="5"/>
  </r>
  <r>
    <x v="13"/>
    <x v="2"/>
    <x v="577"/>
    <x v="457"/>
    <x v="427"/>
    <x v="212"/>
    <x v="597"/>
    <x v="587"/>
    <x v="3"/>
  </r>
  <r>
    <x v="7"/>
    <x v="1"/>
    <x v="578"/>
    <x v="360"/>
    <x v="428"/>
    <x v="429"/>
    <x v="598"/>
    <x v="588"/>
    <x v="2"/>
  </r>
  <r>
    <x v="9"/>
    <x v="5"/>
    <x v="579"/>
    <x v="188"/>
    <x v="42"/>
    <x v="154"/>
    <x v="599"/>
    <x v="589"/>
    <x v="5"/>
  </r>
  <r>
    <x v="2"/>
    <x v="1"/>
    <x v="580"/>
    <x v="458"/>
    <x v="429"/>
    <x v="430"/>
    <x v="600"/>
    <x v="590"/>
    <x v="9"/>
  </r>
  <r>
    <x v="11"/>
    <x v="2"/>
    <x v="581"/>
    <x v="459"/>
    <x v="430"/>
    <x v="412"/>
    <x v="601"/>
    <x v="591"/>
    <x v="3"/>
  </r>
  <r>
    <x v="1"/>
    <x v="4"/>
    <x v="582"/>
    <x v="460"/>
    <x v="431"/>
    <x v="431"/>
    <x v="602"/>
    <x v="592"/>
    <x v="6"/>
  </r>
  <r>
    <x v="0"/>
    <x v="3"/>
    <x v="583"/>
    <x v="461"/>
    <x v="432"/>
    <x v="432"/>
    <x v="603"/>
    <x v="593"/>
    <x v="1"/>
  </r>
  <r>
    <x v="14"/>
    <x v="0"/>
    <x v="584"/>
    <x v="16"/>
    <x v="16"/>
    <x v="361"/>
    <x v="604"/>
    <x v="594"/>
    <x v="1"/>
  </r>
  <r>
    <x v="3"/>
    <x v="0"/>
    <x v="585"/>
    <x v="462"/>
    <x v="433"/>
    <x v="74"/>
    <x v="605"/>
    <x v="595"/>
    <x v="3"/>
  </r>
  <r>
    <x v="11"/>
    <x v="3"/>
    <x v="586"/>
    <x v="463"/>
    <x v="434"/>
    <x v="433"/>
    <x v="606"/>
    <x v="596"/>
    <x v="1"/>
  </r>
  <r>
    <x v="4"/>
    <x v="1"/>
    <x v="587"/>
    <x v="261"/>
    <x v="435"/>
    <x v="44"/>
    <x v="607"/>
    <x v="597"/>
    <x v="6"/>
  </r>
  <r>
    <x v="1"/>
    <x v="0"/>
    <x v="588"/>
    <x v="464"/>
    <x v="436"/>
    <x v="434"/>
    <x v="608"/>
    <x v="598"/>
    <x v="5"/>
  </r>
  <r>
    <x v="4"/>
    <x v="4"/>
    <x v="589"/>
    <x v="465"/>
    <x v="437"/>
    <x v="435"/>
    <x v="609"/>
    <x v="599"/>
    <x v="3"/>
  </r>
  <r>
    <x v="10"/>
    <x v="0"/>
    <x v="590"/>
    <x v="466"/>
    <x v="438"/>
    <x v="436"/>
    <x v="610"/>
    <x v="600"/>
    <x v="2"/>
  </r>
  <r>
    <x v="8"/>
    <x v="3"/>
    <x v="591"/>
    <x v="467"/>
    <x v="439"/>
    <x v="437"/>
    <x v="611"/>
    <x v="601"/>
    <x v="3"/>
  </r>
  <r>
    <x v="12"/>
    <x v="3"/>
    <x v="592"/>
    <x v="468"/>
    <x v="440"/>
    <x v="438"/>
    <x v="612"/>
    <x v="602"/>
    <x v="8"/>
  </r>
  <r>
    <x v="7"/>
    <x v="3"/>
    <x v="593"/>
    <x v="469"/>
    <x v="441"/>
    <x v="439"/>
    <x v="613"/>
    <x v="603"/>
    <x v="6"/>
  </r>
  <r>
    <x v="12"/>
    <x v="4"/>
    <x v="594"/>
    <x v="417"/>
    <x v="442"/>
    <x v="440"/>
    <x v="614"/>
    <x v="604"/>
    <x v="0"/>
  </r>
  <r>
    <x v="7"/>
    <x v="0"/>
    <x v="595"/>
    <x v="470"/>
    <x v="443"/>
    <x v="441"/>
    <x v="615"/>
    <x v="605"/>
    <x v="5"/>
  </r>
  <r>
    <x v="8"/>
    <x v="2"/>
    <x v="596"/>
    <x v="471"/>
    <x v="444"/>
    <x v="442"/>
    <x v="616"/>
    <x v="606"/>
    <x v="2"/>
  </r>
  <r>
    <x v="4"/>
    <x v="3"/>
    <x v="597"/>
    <x v="472"/>
    <x v="445"/>
    <x v="443"/>
    <x v="617"/>
    <x v="607"/>
    <x v="9"/>
  </r>
  <r>
    <x v="6"/>
    <x v="5"/>
    <x v="598"/>
    <x v="16"/>
    <x v="232"/>
    <x v="235"/>
    <x v="618"/>
    <x v="608"/>
    <x v="7"/>
  </r>
  <r>
    <x v="1"/>
    <x v="3"/>
    <x v="599"/>
    <x v="473"/>
    <x v="446"/>
    <x v="439"/>
    <x v="619"/>
    <x v="609"/>
    <x v="5"/>
  </r>
  <r>
    <x v="13"/>
    <x v="4"/>
    <x v="600"/>
    <x v="474"/>
    <x v="38"/>
    <x v="212"/>
    <x v="620"/>
    <x v="610"/>
    <x v="4"/>
  </r>
  <r>
    <x v="14"/>
    <x v="5"/>
    <x v="601"/>
    <x v="48"/>
    <x v="46"/>
    <x v="48"/>
    <x v="621"/>
    <x v="50"/>
    <x v="7"/>
  </r>
  <r>
    <x v="2"/>
    <x v="2"/>
    <x v="602"/>
    <x v="448"/>
    <x v="177"/>
    <x v="47"/>
    <x v="622"/>
    <x v="611"/>
    <x v="7"/>
  </r>
  <r>
    <x v="7"/>
    <x v="4"/>
    <x v="603"/>
    <x v="475"/>
    <x v="447"/>
    <x v="444"/>
    <x v="623"/>
    <x v="612"/>
    <x v="3"/>
  </r>
  <r>
    <x v="0"/>
    <x v="4"/>
    <x v="604"/>
    <x v="126"/>
    <x v="248"/>
    <x v="253"/>
    <x v="624"/>
    <x v="613"/>
    <x v="4"/>
  </r>
  <r>
    <x v="9"/>
    <x v="0"/>
    <x v="605"/>
    <x v="476"/>
    <x v="448"/>
    <x v="445"/>
    <x v="625"/>
    <x v="614"/>
    <x v="6"/>
  </r>
  <r>
    <x v="0"/>
    <x v="1"/>
    <x v="606"/>
    <x v="231"/>
    <x v="83"/>
    <x v="87"/>
    <x v="626"/>
    <x v="615"/>
    <x v="4"/>
  </r>
  <r>
    <x v="11"/>
    <x v="1"/>
    <x v="90"/>
    <x v="78"/>
    <x v="31"/>
    <x v="32"/>
    <x v="627"/>
    <x v="616"/>
    <x v="4"/>
  </r>
  <r>
    <x v="7"/>
    <x v="4"/>
    <x v="607"/>
    <x v="477"/>
    <x v="449"/>
    <x v="446"/>
    <x v="628"/>
    <x v="617"/>
    <x v="2"/>
  </r>
  <r>
    <x v="7"/>
    <x v="5"/>
    <x v="608"/>
    <x v="478"/>
    <x v="109"/>
    <x v="112"/>
    <x v="629"/>
    <x v="618"/>
    <x v="7"/>
  </r>
  <r>
    <x v="6"/>
    <x v="1"/>
    <x v="609"/>
    <x v="67"/>
    <x v="25"/>
    <x v="25"/>
    <x v="630"/>
    <x v="619"/>
    <x v="7"/>
  </r>
  <r>
    <x v="12"/>
    <x v="2"/>
    <x v="610"/>
    <x v="479"/>
    <x v="450"/>
    <x v="447"/>
    <x v="631"/>
    <x v="620"/>
    <x v="6"/>
  </r>
  <r>
    <x v="8"/>
    <x v="0"/>
    <x v="611"/>
    <x v="480"/>
    <x v="451"/>
    <x v="448"/>
    <x v="632"/>
    <x v="621"/>
    <x v="5"/>
  </r>
  <r>
    <x v="13"/>
    <x v="3"/>
    <x v="612"/>
    <x v="481"/>
    <x v="452"/>
    <x v="449"/>
    <x v="633"/>
    <x v="622"/>
    <x v="7"/>
  </r>
  <r>
    <x v="0"/>
    <x v="0"/>
    <x v="613"/>
    <x v="482"/>
    <x v="453"/>
    <x v="92"/>
    <x v="634"/>
    <x v="623"/>
    <x v="5"/>
  </r>
  <r>
    <x v="6"/>
    <x v="1"/>
    <x v="614"/>
    <x v="483"/>
    <x v="7"/>
    <x v="450"/>
    <x v="635"/>
    <x v="624"/>
    <x v="8"/>
  </r>
  <r>
    <x v="3"/>
    <x v="4"/>
    <x v="615"/>
    <x v="484"/>
    <x v="454"/>
    <x v="451"/>
    <x v="636"/>
    <x v="625"/>
    <x v="5"/>
  </r>
  <r>
    <x v="11"/>
    <x v="3"/>
    <x v="616"/>
    <x v="485"/>
    <x v="172"/>
    <x v="413"/>
    <x v="637"/>
    <x v="626"/>
    <x v="7"/>
  </r>
  <r>
    <x v="6"/>
    <x v="0"/>
    <x v="617"/>
    <x v="486"/>
    <x v="297"/>
    <x v="452"/>
    <x v="638"/>
    <x v="627"/>
    <x v="2"/>
  </r>
  <r>
    <x v="3"/>
    <x v="0"/>
    <x v="618"/>
    <x v="487"/>
    <x v="455"/>
    <x v="453"/>
    <x v="639"/>
    <x v="628"/>
    <x v="0"/>
  </r>
  <r>
    <x v="0"/>
    <x v="5"/>
    <x v="619"/>
    <x v="144"/>
    <x v="109"/>
    <x v="82"/>
    <x v="640"/>
    <x v="629"/>
    <x v="7"/>
  </r>
  <r>
    <x v="3"/>
    <x v="0"/>
    <x v="620"/>
    <x v="488"/>
    <x v="456"/>
    <x v="454"/>
    <x v="641"/>
    <x v="630"/>
    <x v="6"/>
  </r>
  <r>
    <x v="8"/>
    <x v="0"/>
    <x v="621"/>
    <x v="489"/>
    <x v="187"/>
    <x v="455"/>
    <x v="642"/>
    <x v="631"/>
    <x v="1"/>
  </r>
  <r>
    <x v="10"/>
    <x v="3"/>
    <x v="622"/>
    <x v="490"/>
    <x v="457"/>
    <x v="456"/>
    <x v="643"/>
    <x v="632"/>
    <x v="7"/>
  </r>
  <r>
    <x v="10"/>
    <x v="3"/>
    <x v="623"/>
    <x v="491"/>
    <x v="458"/>
    <x v="457"/>
    <x v="644"/>
    <x v="633"/>
    <x v="1"/>
  </r>
  <r>
    <x v="3"/>
    <x v="4"/>
    <x v="141"/>
    <x v="21"/>
    <x v="459"/>
    <x v="458"/>
    <x v="645"/>
    <x v="634"/>
    <x v="1"/>
  </r>
  <r>
    <x v="12"/>
    <x v="5"/>
    <x v="624"/>
    <x v="64"/>
    <x v="248"/>
    <x v="253"/>
    <x v="646"/>
    <x v="635"/>
    <x v="5"/>
  </r>
  <r>
    <x v="5"/>
    <x v="4"/>
    <x v="625"/>
    <x v="492"/>
    <x v="460"/>
    <x v="444"/>
    <x v="647"/>
    <x v="636"/>
    <x v="3"/>
  </r>
  <r>
    <x v="0"/>
    <x v="2"/>
    <x v="626"/>
    <x v="493"/>
    <x v="461"/>
    <x v="459"/>
    <x v="648"/>
    <x v="637"/>
    <x v="0"/>
  </r>
  <r>
    <x v="1"/>
    <x v="1"/>
    <x v="627"/>
    <x v="494"/>
    <x v="346"/>
    <x v="195"/>
    <x v="649"/>
    <x v="638"/>
    <x v="2"/>
  </r>
  <r>
    <x v="2"/>
    <x v="1"/>
    <x v="628"/>
    <x v="495"/>
    <x v="462"/>
    <x v="460"/>
    <x v="650"/>
    <x v="639"/>
    <x v="8"/>
  </r>
  <r>
    <x v="6"/>
    <x v="1"/>
    <x v="629"/>
    <x v="116"/>
    <x v="53"/>
    <x v="55"/>
    <x v="651"/>
    <x v="640"/>
    <x v="1"/>
  </r>
  <r>
    <x v="7"/>
    <x v="2"/>
    <x v="630"/>
    <x v="496"/>
    <x v="463"/>
    <x v="461"/>
    <x v="652"/>
    <x v="641"/>
    <x v="8"/>
  </r>
  <r>
    <x v="9"/>
    <x v="4"/>
    <x v="631"/>
    <x v="497"/>
    <x v="464"/>
    <x v="462"/>
    <x v="653"/>
    <x v="642"/>
    <x v="0"/>
  </r>
  <r>
    <x v="9"/>
    <x v="3"/>
    <x v="632"/>
    <x v="498"/>
    <x v="465"/>
    <x v="463"/>
    <x v="654"/>
    <x v="643"/>
    <x v="8"/>
  </r>
  <r>
    <x v="13"/>
    <x v="4"/>
    <x v="633"/>
    <x v="499"/>
    <x v="466"/>
    <x v="464"/>
    <x v="655"/>
    <x v="644"/>
    <x v="8"/>
  </r>
  <r>
    <x v="4"/>
    <x v="1"/>
    <x v="634"/>
    <x v="500"/>
    <x v="467"/>
    <x v="465"/>
    <x v="656"/>
    <x v="645"/>
    <x v="9"/>
  </r>
  <r>
    <x v="7"/>
    <x v="1"/>
    <x v="635"/>
    <x v="501"/>
    <x v="255"/>
    <x v="319"/>
    <x v="657"/>
    <x v="646"/>
    <x v="1"/>
  </r>
  <r>
    <x v="8"/>
    <x v="2"/>
    <x v="636"/>
    <x v="40"/>
    <x v="373"/>
    <x v="375"/>
    <x v="658"/>
    <x v="647"/>
    <x v="4"/>
  </r>
  <r>
    <x v="0"/>
    <x v="3"/>
    <x v="637"/>
    <x v="502"/>
    <x v="468"/>
    <x v="466"/>
    <x v="659"/>
    <x v="648"/>
    <x v="5"/>
  </r>
  <r>
    <x v="9"/>
    <x v="4"/>
    <x v="638"/>
    <x v="503"/>
    <x v="469"/>
    <x v="467"/>
    <x v="660"/>
    <x v="649"/>
    <x v="6"/>
  </r>
  <r>
    <x v="9"/>
    <x v="6"/>
    <x v="639"/>
    <x v="504"/>
    <x v="470"/>
    <x v="468"/>
    <x v="661"/>
    <x v="650"/>
    <x v="9"/>
  </r>
  <r>
    <x v="2"/>
    <x v="3"/>
    <x v="640"/>
    <x v="505"/>
    <x v="471"/>
    <x v="469"/>
    <x v="662"/>
    <x v="651"/>
    <x v="5"/>
  </r>
  <r>
    <x v="2"/>
    <x v="1"/>
    <x v="641"/>
    <x v="47"/>
    <x v="127"/>
    <x v="18"/>
    <x v="663"/>
    <x v="652"/>
    <x v="5"/>
  </r>
  <r>
    <x v="14"/>
    <x v="5"/>
    <x v="642"/>
    <x v="48"/>
    <x v="46"/>
    <x v="48"/>
    <x v="664"/>
    <x v="50"/>
    <x v="5"/>
  </r>
  <r>
    <x v="3"/>
    <x v="4"/>
    <x v="643"/>
    <x v="506"/>
    <x v="472"/>
    <x v="470"/>
    <x v="665"/>
    <x v="653"/>
    <x v="2"/>
  </r>
  <r>
    <x v="3"/>
    <x v="2"/>
    <x v="644"/>
    <x v="269"/>
    <x v="473"/>
    <x v="471"/>
    <x v="666"/>
    <x v="654"/>
    <x v="7"/>
  </r>
  <r>
    <x v="6"/>
    <x v="2"/>
    <x v="645"/>
    <x v="507"/>
    <x v="473"/>
    <x v="472"/>
    <x v="667"/>
    <x v="655"/>
    <x v="7"/>
  </r>
  <r>
    <x v="13"/>
    <x v="6"/>
    <x v="646"/>
    <x v="508"/>
    <x v="474"/>
    <x v="473"/>
    <x v="668"/>
    <x v="656"/>
    <x v="9"/>
  </r>
  <r>
    <x v="5"/>
    <x v="1"/>
    <x v="647"/>
    <x v="77"/>
    <x v="385"/>
    <x v="30"/>
    <x v="669"/>
    <x v="657"/>
    <x v="6"/>
  </r>
  <r>
    <x v="1"/>
    <x v="4"/>
    <x v="648"/>
    <x v="509"/>
    <x v="475"/>
    <x v="474"/>
    <x v="670"/>
    <x v="658"/>
    <x v="4"/>
  </r>
  <r>
    <x v="3"/>
    <x v="1"/>
    <x v="649"/>
    <x v="510"/>
    <x v="392"/>
    <x v="475"/>
    <x v="671"/>
    <x v="659"/>
    <x v="8"/>
  </r>
  <r>
    <x v="3"/>
    <x v="2"/>
    <x v="650"/>
    <x v="511"/>
    <x v="476"/>
    <x v="476"/>
    <x v="672"/>
    <x v="660"/>
    <x v="3"/>
  </r>
  <r>
    <x v="10"/>
    <x v="1"/>
    <x v="651"/>
    <x v="89"/>
    <x v="19"/>
    <x v="19"/>
    <x v="673"/>
    <x v="661"/>
    <x v="0"/>
  </r>
  <r>
    <x v="12"/>
    <x v="1"/>
    <x v="652"/>
    <x v="33"/>
    <x v="83"/>
    <x v="87"/>
    <x v="674"/>
    <x v="435"/>
    <x v="1"/>
  </r>
  <r>
    <x v="0"/>
    <x v="2"/>
    <x v="653"/>
    <x v="395"/>
    <x v="477"/>
    <x v="477"/>
    <x v="675"/>
    <x v="662"/>
    <x v="1"/>
  </r>
  <r>
    <x v="12"/>
    <x v="4"/>
    <x v="654"/>
    <x v="5"/>
    <x v="478"/>
    <x v="478"/>
    <x v="676"/>
    <x v="663"/>
    <x v="1"/>
  </r>
  <r>
    <x v="2"/>
    <x v="2"/>
    <x v="655"/>
    <x v="512"/>
    <x v="479"/>
    <x v="479"/>
    <x v="677"/>
    <x v="664"/>
    <x v="0"/>
  </r>
  <r>
    <x v="3"/>
    <x v="3"/>
    <x v="656"/>
    <x v="513"/>
    <x v="480"/>
    <x v="480"/>
    <x v="678"/>
    <x v="665"/>
    <x v="5"/>
  </r>
  <r>
    <x v="7"/>
    <x v="3"/>
    <x v="657"/>
    <x v="360"/>
    <x v="452"/>
    <x v="449"/>
    <x v="679"/>
    <x v="666"/>
    <x v="7"/>
  </r>
  <r>
    <x v="7"/>
    <x v="3"/>
    <x v="658"/>
    <x v="514"/>
    <x v="481"/>
    <x v="481"/>
    <x v="680"/>
    <x v="667"/>
    <x v="1"/>
  </r>
  <r>
    <x v="10"/>
    <x v="4"/>
    <x v="659"/>
    <x v="515"/>
    <x v="482"/>
    <x v="141"/>
    <x v="681"/>
    <x v="668"/>
    <x v="4"/>
  </r>
  <r>
    <x v="4"/>
    <x v="2"/>
    <x v="660"/>
    <x v="516"/>
    <x v="483"/>
    <x v="482"/>
    <x v="682"/>
    <x v="669"/>
    <x v="5"/>
  </r>
  <r>
    <x v="14"/>
    <x v="3"/>
    <x v="661"/>
    <x v="510"/>
    <x v="369"/>
    <x v="127"/>
    <x v="683"/>
    <x v="670"/>
    <x v="2"/>
  </r>
  <r>
    <x v="8"/>
    <x v="0"/>
    <x v="662"/>
    <x v="517"/>
    <x v="484"/>
    <x v="483"/>
    <x v="684"/>
    <x v="671"/>
    <x v="8"/>
  </r>
  <r>
    <x v="3"/>
    <x v="3"/>
    <x v="663"/>
    <x v="518"/>
    <x v="485"/>
    <x v="46"/>
    <x v="685"/>
    <x v="672"/>
    <x v="3"/>
  </r>
  <r>
    <x v="6"/>
    <x v="2"/>
    <x v="664"/>
    <x v="519"/>
    <x v="89"/>
    <x v="484"/>
    <x v="686"/>
    <x v="673"/>
    <x v="5"/>
  </r>
  <r>
    <x v="10"/>
    <x v="1"/>
    <x v="665"/>
    <x v="520"/>
    <x v="486"/>
    <x v="217"/>
    <x v="687"/>
    <x v="674"/>
    <x v="8"/>
  </r>
  <r>
    <x v="1"/>
    <x v="2"/>
    <x v="666"/>
    <x v="521"/>
    <x v="487"/>
    <x v="485"/>
    <x v="688"/>
    <x v="675"/>
    <x v="8"/>
  </r>
  <r>
    <x v="7"/>
    <x v="4"/>
    <x v="667"/>
    <x v="285"/>
    <x v="488"/>
    <x v="197"/>
    <x v="689"/>
    <x v="676"/>
    <x v="1"/>
  </r>
  <r>
    <x v="3"/>
    <x v="4"/>
    <x v="668"/>
    <x v="522"/>
    <x v="489"/>
    <x v="486"/>
    <x v="690"/>
    <x v="677"/>
    <x v="6"/>
  </r>
  <r>
    <x v="10"/>
    <x v="3"/>
    <x v="669"/>
    <x v="523"/>
    <x v="490"/>
    <x v="487"/>
    <x v="691"/>
    <x v="678"/>
    <x v="3"/>
  </r>
  <r>
    <x v="4"/>
    <x v="3"/>
    <x v="670"/>
    <x v="15"/>
    <x v="214"/>
    <x v="488"/>
    <x v="692"/>
    <x v="679"/>
    <x v="7"/>
  </r>
  <r>
    <x v="5"/>
    <x v="3"/>
    <x v="671"/>
    <x v="524"/>
    <x v="491"/>
    <x v="489"/>
    <x v="693"/>
    <x v="680"/>
    <x v="2"/>
  </r>
  <r>
    <x v="10"/>
    <x v="2"/>
    <x v="672"/>
    <x v="525"/>
    <x v="492"/>
    <x v="379"/>
    <x v="694"/>
    <x v="681"/>
    <x v="7"/>
  </r>
  <r>
    <x v="8"/>
    <x v="2"/>
    <x v="673"/>
    <x v="76"/>
    <x v="493"/>
    <x v="490"/>
    <x v="695"/>
    <x v="682"/>
    <x v="1"/>
  </r>
  <r>
    <x v="8"/>
    <x v="0"/>
    <x v="674"/>
    <x v="526"/>
    <x v="494"/>
    <x v="491"/>
    <x v="696"/>
    <x v="683"/>
    <x v="0"/>
  </r>
  <r>
    <x v="8"/>
    <x v="0"/>
    <x v="675"/>
    <x v="236"/>
    <x v="214"/>
    <x v="240"/>
    <x v="697"/>
    <x v="684"/>
    <x v="3"/>
  </r>
  <r>
    <x v="12"/>
    <x v="0"/>
    <x v="676"/>
    <x v="527"/>
    <x v="495"/>
    <x v="492"/>
    <x v="698"/>
    <x v="685"/>
    <x v="6"/>
  </r>
  <r>
    <x v="1"/>
    <x v="3"/>
    <x v="677"/>
    <x v="528"/>
    <x v="496"/>
    <x v="493"/>
    <x v="699"/>
    <x v="686"/>
    <x v="2"/>
  </r>
  <r>
    <x v="1"/>
    <x v="1"/>
    <x v="678"/>
    <x v="529"/>
    <x v="497"/>
    <x v="494"/>
    <x v="700"/>
    <x v="687"/>
    <x v="9"/>
  </r>
  <r>
    <x v="1"/>
    <x v="4"/>
    <x v="679"/>
    <x v="530"/>
    <x v="498"/>
    <x v="495"/>
    <x v="701"/>
    <x v="688"/>
    <x v="1"/>
  </r>
  <r>
    <x v="3"/>
    <x v="2"/>
    <x v="680"/>
    <x v="531"/>
    <x v="499"/>
    <x v="496"/>
    <x v="702"/>
    <x v="689"/>
    <x v="2"/>
  </r>
  <r>
    <x v="12"/>
    <x v="1"/>
    <x v="681"/>
    <x v="532"/>
    <x v="83"/>
    <x v="87"/>
    <x v="703"/>
    <x v="690"/>
    <x v="5"/>
  </r>
  <r>
    <x v="13"/>
    <x v="1"/>
    <x v="682"/>
    <x v="369"/>
    <x v="158"/>
    <x v="22"/>
    <x v="704"/>
    <x v="691"/>
    <x v="6"/>
  </r>
  <r>
    <x v="6"/>
    <x v="4"/>
    <x v="683"/>
    <x v="533"/>
    <x v="500"/>
    <x v="497"/>
    <x v="705"/>
    <x v="692"/>
    <x v="5"/>
  </r>
  <r>
    <x v="11"/>
    <x v="3"/>
    <x v="684"/>
    <x v="534"/>
    <x v="501"/>
    <x v="498"/>
    <x v="706"/>
    <x v="693"/>
    <x v="0"/>
  </r>
  <r>
    <x v="6"/>
    <x v="3"/>
    <x v="685"/>
    <x v="535"/>
    <x v="502"/>
    <x v="499"/>
    <x v="707"/>
    <x v="694"/>
    <x v="9"/>
  </r>
  <r>
    <x v="8"/>
    <x v="1"/>
    <x v="686"/>
    <x v="27"/>
    <x v="43"/>
    <x v="45"/>
    <x v="708"/>
    <x v="695"/>
    <x v="4"/>
  </r>
  <r>
    <x v="10"/>
    <x v="2"/>
    <x v="687"/>
    <x v="189"/>
    <x v="503"/>
    <x v="350"/>
    <x v="709"/>
    <x v="696"/>
    <x v="5"/>
  </r>
  <r>
    <x v="11"/>
    <x v="1"/>
    <x v="688"/>
    <x v="169"/>
    <x v="120"/>
    <x v="125"/>
    <x v="710"/>
    <x v="697"/>
    <x v="3"/>
  </r>
  <r>
    <x v="5"/>
    <x v="4"/>
    <x v="689"/>
    <x v="29"/>
    <x v="53"/>
    <x v="55"/>
    <x v="711"/>
    <x v="698"/>
    <x v="4"/>
  </r>
  <r>
    <x v="9"/>
    <x v="2"/>
    <x v="690"/>
    <x v="536"/>
    <x v="504"/>
    <x v="500"/>
    <x v="712"/>
    <x v="699"/>
    <x v="6"/>
  </r>
  <r>
    <x v="3"/>
    <x v="2"/>
    <x v="691"/>
    <x v="537"/>
    <x v="482"/>
    <x v="501"/>
    <x v="713"/>
    <x v="700"/>
    <x v="5"/>
  </r>
  <r>
    <x v="2"/>
    <x v="3"/>
    <x v="692"/>
    <x v="374"/>
    <x v="310"/>
    <x v="502"/>
    <x v="714"/>
    <x v="701"/>
    <x v="4"/>
  </r>
  <r>
    <x v="2"/>
    <x v="4"/>
    <x v="693"/>
    <x v="538"/>
    <x v="505"/>
    <x v="503"/>
    <x v="715"/>
    <x v="702"/>
    <x v="2"/>
  </r>
  <r>
    <x v="10"/>
    <x v="1"/>
    <x v="694"/>
    <x v="67"/>
    <x v="60"/>
    <x v="63"/>
    <x v="716"/>
    <x v="703"/>
    <x v="7"/>
  </r>
  <r>
    <x v="6"/>
    <x v="4"/>
    <x v="257"/>
    <x v="145"/>
    <x v="31"/>
    <x v="32"/>
    <x v="717"/>
    <x v="320"/>
    <x v="7"/>
  </r>
  <r>
    <x v="1"/>
    <x v="5"/>
    <x v="695"/>
    <x v="45"/>
    <x v="120"/>
    <x v="125"/>
    <x v="718"/>
    <x v="704"/>
    <x v="5"/>
  </r>
  <r>
    <x v="5"/>
    <x v="2"/>
    <x v="696"/>
    <x v="539"/>
    <x v="506"/>
    <x v="435"/>
    <x v="719"/>
    <x v="705"/>
    <x v="5"/>
  </r>
  <r>
    <x v="0"/>
    <x v="1"/>
    <x v="697"/>
    <x v="540"/>
    <x v="161"/>
    <x v="44"/>
    <x v="720"/>
    <x v="706"/>
    <x v="5"/>
  </r>
  <r>
    <x v="8"/>
    <x v="0"/>
    <x v="698"/>
    <x v="205"/>
    <x v="435"/>
    <x v="5"/>
    <x v="721"/>
    <x v="707"/>
    <x v="7"/>
  </r>
  <r>
    <x v="5"/>
    <x v="1"/>
    <x v="699"/>
    <x v="541"/>
    <x v="507"/>
    <x v="504"/>
    <x v="722"/>
    <x v="708"/>
    <x v="8"/>
  </r>
  <r>
    <x v="11"/>
    <x v="1"/>
    <x v="700"/>
    <x v="542"/>
    <x v="508"/>
    <x v="18"/>
    <x v="723"/>
    <x v="709"/>
    <x v="0"/>
  </r>
  <r>
    <x v="10"/>
    <x v="4"/>
    <x v="701"/>
    <x v="543"/>
    <x v="509"/>
    <x v="505"/>
    <x v="724"/>
    <x v="710"/>
    <x v="5"/>
  </r>
  <r>
    <x v="2"/>
    <x v="4"/>
    <x v="702"/>
    <x v="544"/>
    <x v="510"/>
    <x v="506"/>
    <x v="725"/>
    <x v="711"/>
    <x v="3"/>
  </r>
  <r>
    <x v="6"/>
    <x v="2"/>
    <x v="703"/>
    <x v="433"/>
    <x v="79"/>
    <x v="83"/>
    <x v="726"/>
    <x v="712"/>
    <x v="3"/>
  </r>
  <r>
    <x v="12"/>
    <x v="2"/>
    <x v="704"/>
    <x v="206"/>
    <x v="29"/>
    <x v="120"/>
    <x v="727"/>
    <x v="713"/>
    <x v="7"/>
  </r>
  <r>
    <x v="2"/>
    <x v="0"/>
    <x v="705"/>
    <x v="545"/>
    <x v="511"/>
    <x v="507"/>
    <x v="728"/>
    <x v="714"/>
    <x v="1"/>
  </r>
  <r>
    <x v="14"/>
    <x v="2"/>
    <x v="224"/>
    <x v="403"/>
    <x v="512"/>
    <x v="508"/>
    <x v="729"/>
    <x v="715"/>
    <x v="6"/>
  </r>
  <r>
    <x v="5"/>
    <x v="3"/>
    <x v="706"/>
    <x v="546"/>
    <x v="513"/>
    <x v="509"/>
    <x v="730"/>
    <x v="716"/>
    <x v="3"/>
  </r>
  <r>
    <x v="0"/>
    <x v="1"/>
    <x v="707"/>
    <x v="71"/>
    <x v="161"/>
    <x v="44"/>
    <x v="731"/>
    <x v="717"/>
    <x v="3"/>
  </r>
  <r>
    <x v="9"/>
    <x v="2"/>
    <x v="708"/>
    <x v="547"/>
    <x v="11"/>
    <x v="389"/>
    <x v="732"/>
    <x v="718"/>
    <x v="5"/>
  </r>
  <r>
    <x v="11"/>
    <x v="2"/>
    <x v="709"/>
    <x v="29"/>
    <x v="35"/>
    <x v="36"/>
    <x v="733"/>
    <x v="719"/>
    <x v="7"/>
  </r>
  <r>
    <x v="7"/>
    <x v="1"/>
    <x v="710"/>
    <x v="532"/>
    <x v="20"/>
    <x v="20"/>
    <x v="734"/>
    <x v="720"/>
    <x v="7"/>
  </r>
  <r>
    <x v="12"/>
    <x v="2"/>
    <x v="711"/>
    <x v="548"/>
    <x v="514"/>
    <x v="510"/>
    <x v="735"/>
    <x v="721"/>
    <x v="2"/>
  </r>
  <r>
    <x v="11"/>
    <x v="2"/>
    <x v="712"/>
    <x v="549"/>
    <x v="515"/>
    <x v="511"/>
    <x v="736"/>
    <x v="722"/>
    <x v="6"/>
  </r>
  <r>
    <x v="12"/>
    <x v="2"/>
    <x v="713"/>
    <x v="550"/>
    <x v="516"/>
    <x v="512"/>
    <x v="737"/>
    <x v="723"/>
    <x v="0"/>
  </r>
  <r>
    <x v="7"/>
    <x v="3"/>
    <x v="714"/>
    <x v="120"/>
    <x v="360"/>
    <x v="513"/>
    <x v="738"/>
    <x v="724"/>
    <x v="0"/>
  </r>
  <r>
    <x v="9"/>
    <x v="3"/>
    <x v="715"/>
    <x v="551"/>
    <x v="484"/>
    <x v="514"/>
    <x v="739"/>
    <x v="725"/>
    <x v="3"/>
  </r>
  <r>
    <x v="7"/>
    <x v="1"/>
    <x v="716"/>
    <x v="453"/>
    <x v="108"/>
    <x v="502"/>
    <x v="740"/>
    <x v="726"/>
    <x v="9"/>
  </r>
  <r>
    <x v="6"/>
    <x v="1"/>
    <x v="717"/>
    <x v="27"/>
    <x v="14"/>
    <x v="14"/>
    <x v="741"/>
    <x v="727"/>
    <x v="4"/>
  </r>
  <r>
    <x v="14"/>
    <x v="4"/>
    <x v="718"/>
    <x v="313"/>
    <x v="386"/>
    <x v="474"/>
    <x v="742"/>
    <x v="728"/>
    <x v="5"/>
  </r>
  <r>
    <x v="8"/>
    <x v="3"/>
    <x v="719"/>
    <x v="552"/>
    <x v="517"/>
    <x v="515"/>
    <x v="743"/>
    <x v="729"/>
    <x v="1"/>
  </r>
  <r>
    <x v="14"/>
    <x v="2"/>
    <x v="257"/>
    <x v="48"/>
    <x v="46"/>
    <x v="48"/>
    <x v="744"/>
    <x v="5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lGrandTotals="0" compact="0" indent="0" outline="1" compactData="0" outlineData="1" showDrill="1" multipleFieldFilters="0">
  <location ref="B6:Q14" firstHeaderRow="1" firstDataRow="2" firstDataCol="1"/>
  <pivotFields count="9">
    <pivotField axis="axisCol" compact="0" numFmtId="17" showAll="0">
      <items count="16">
        <item x="10"/>
        <item x="2"/>
        <item x="7"/>
        <item x="13"/>
        <item x="3"/>
        <item x="4"/>
        <item x="8"/>
        <item x="6"/>
        <item x="1"/>
        <item x="5"/>
        <item x="9"/>
        <item x="0"/>
        <item x="11"/>
        <item x="12"/>
        <item x="14"/>
        <item t="default"/>
      </items>
    </pivotField>
    <pivotField axis="axisRow" compact="0" multipleItemSelectionAllowed="1" showAll="0">
      <items count="8">
        <item x="4"/>
        <item x="2"/>
        <item x="0"/>
        <item x="3"/>
        <item x="1"/>
        <item h="1" x="5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731">
        <item x="84"/>
        <item x="33"/>
        <item x="320"/>
        <item x="616"/>
        <item x="435"/>
        <item x="257"/>
        <item x="546"/>
        <item x="509"/>
        <item x="323"/>
        <item x="255"/>
        <item x="147"/>
        <item x="304"/>
        <item x="282"/>
        <item x="118"/>
        <item x="95"/>
        <item x="27"/>
        <item x="434"/>
        <item x="156"/>
        <item x="14"/>
        <item x="558"/>
        <item x="583"/>
        <item x="635"/>
        <item x="256"/>
        <item x="349"/>
        <item x="155"/>
        <item x="433"/>
        <item x="70"/>
        <item x="216"/>
        <item x="81"/>
        <item x="451"/>
        <item x="619"/>
        <item x="615"/>
        <item x="430"/>
        <item x="65"/>
        <item x="254"/>
        <item x="312"/>
        <item x="462"/>
        <item x="720"/>
        <item x="122"/>
        <item x="146"/>
        <item x="424"/>
        <item x="414"/>
        <item x="695"/>
        <item x="20"/>
        <item x="469"/>
        <item x="412"/>
        <item x="613"/>
        <item x="224"/>
        <item x="367"/>
        <item x="703"/>
        <item x="190"/>
        <item x="314"/>
        <item x="550"/>
        <item x="308"/>
        <item x="436"/>
        <item x="281"/>
        <item x="629"/>
        <item x="305"/>
        <item x="389"/>
        <item x="401"/>
        <item x="405"/>
        <item x="382"/>
        <item x="413"/>
        <item x="285"/>
        <item x="221"/>
        <item x="357"/>
        <item x="727"/>
        <item x="394"/>
        <item x="90"/>
        <item x="397"/>
        <item x="67"/>
        <item x="690"/>
        <item x="220"/>
        <item x="183"/>
        <item x="373"/>
        <item x="16"/>
        <item x="5"/>
        <item x="46"/>
        <item x="458"/>
        <item x="137"/>
        <item x="30"/>
        <item x="504"/>
        <item x="126"/>
        <item x="89"/>
        <item x="184"/>
        <item x="322"/>
        <item x="171"/>
        <item x="47"/>
        <item x="484"/>
        <item x="421"/>
        <item x="330"/>
        <item x="295"/>
        <item x="307"/>
        <item x="507"/>
        <item x="341"/>
        <item x="547"/>
        <item x="697"/>
        <item x="448"/>
        <item x="316"/>
        <item x="707"/>
        <item x="597"/>
        <item x="410"/>
        <item x="564"/>
        <item x="520"/>
        <item x="618"/>
        <item x="586"/>
        <item x="40"/>
        <item x="589"/>
        <item x="698"/>
        <item x="571"/>
        <item x="563"/>
        <item x="719"/>
        <item x="226"/>
        <item x="473"/>
        <item x="204"/>
        <item x="646"/>
        <item x="238"/>
        <item x="544"/>
        <item x="426"/>
        <item x="278"/>
        <item x="463"/>
        <item x="321"/>
        <item x="29"/>
        <item x="444"/>
        <item x="713"/>
        <item x="704"/>
        <item x="555"/>
        <item x="352"/>
        <item x="493"/>
        <item x="180"/>
        <item x="215"/>
        <item x="57"/>
        <item x="23"/>
        <item x="594"/>
        <item x="497"/>
        <item x="640"/>
        <item x="402"/>
        <item x="292"/>
        <item x="351"/>
        <item x="608"/>
        <item x="706"/>
        <item x="87"/>
        <item x="717"/>
        <item x="559"/>
        <item x="31"/>
        <item x="447"/>
        <item x="49"/>
        <item x="582"/>
        <item x="387"/>
        <item x="565"/>
        <item x="385"/>
        <item x="227"/>
        <item x="567"/>
        <item x="25"/>
        <item x="309"/>
        <item x="657"/>
        <item x="336"/>
        <item x="479"/>
        <item x="63"/>
        <item x="691"/>
        <item x="80"/>
        <item x="492"/>
        <item x="291"/>
        <item x="175"/>
        <item x="132"/>
        <item x="280"/>
        <item x="457"/>
        <item x="129"/>
        <item x="228"/>
        <item x="318"/>
        <item x="368"/>
        <item x="37"/>
        <item x="144"/>
        <item x="521"/>
        <item x="652"/>
        <item x="647"/>
        <item x="663"/>
        <item x="301"/>
        <item x="460"/>
        <item x="476"/>
        <item x="508"/>
        <item x="403"/>
        <item x="432"/>
        <item x="200"/>
        <item x="360"/>
        <item x="252"/>
        <item x="611"/>
        <item x="79"/>
        <item x="475"/>
        <item x="74"/>
        <item x="241"/>
        <item x="590"/>
        <item x="99"/>
        <item x="223"/>
        <item x="470"/>
        <item x="443"/>
        <item x="361"/>
        <item x="22"/>
        <item x="540"/>
        <item x="18"/>
        <item x="134"/>
        <item x="231"/>
        <item x="670"/>
        <item x="391"/>
        <item x="163"/>
        <item x="452"/>
        <item x="335"/>
        <item x="124"/>
        <item x="362"/>
        <item x="311"/>
        <item x="513"/>
        <item x="557"/>
        <item x="82"/>
        <item x="726"/>
        <item x="529"/>
        <item x="26"/>
        <item x="19"/>
        <item x="86"/>
        <item x="439"/>
        <item x="108"/>
        <item x="138"/>
        <item x="143"/>
        <item x="427"/>
        <item x="450"/>
        <item x="645"/>
        <item x="416"/>
        <item x="687"/>
        <item x="709"/>
        <item x="327"/>
        <item x="44"/>
        <item x="654"/>
        <item x="141"/>
        <item x="66"/>
        <item x="21"/>
        <item x="549"/>
        <item x="296"/>
        <item x="575"/>
        <item x="626"/>
        <item x="659"/>
        <item x="105"/>
        <item x="7"/>
        <item x="661"/>
        <item x="139"/>
        <item x="409"/>
        <item x="32"/>
        <item x="533"/>
        <item x="284"/>
        <item x="244"/>
        <item x="39"/>
        <item x="1"/>
        <item x="511"/>
        <item x="240"/>
        <item x="203"/>
        <item x="681"/>
        <item x="96"/>
        <item x="655"/>
        <item x="701"/>
        <item x="522"/>
        <item x="639"/>
        <item x="218"/>
        <item x="165"/>
        <item x="579"/>
        <item x="260"/>
        <item x="315"/>
        <item x="728"/>
        <item x="466"/>
        <item x="561"/>
        <item x="234"/>
        <item x="329"/>
        <item x="674"/>
        <item x="440"/>
        <item x="624"/>
        <item x="638"/>
        <item x="708"/>
        <item x="523"/>
        <item x="658"/>
        <item x="539"/>
        <item x="111"/>
        <item x="591"/>
        <item x="372"/>
        <item x="498"/>
        <item x="581"/>
        <item x="166"/>
        <item x="490"/>
        <item x="580"/>
        <item x="62"/>
        <item x="510"/>
        <item x="556"/>
        <item x="43"/>
        <item x="530"/>
        <item x="588"/>
        <item x="113"/>
        <item x="127"/>
        <item x="56"/>
        <item x="15"/>
        <item x="468"/>
        <item x="632"/>
        <item x="152"/>
        <item x="69"/>
        <item x="465"/>
        <item x="570"/>
        <item x="407"/>
        <item x="110"/>
        <item x="503"/>
        <item x="208"/>
        <item x="91"/>
        <item x="537"/>
        <item x="85"/>
        <item x="121"/>
        <item x="596"/>
        <item x="195"/>
        <item x="499"/>
        <item x="78"/>
        <item x="150"/>
        <item x="250"/>
        <item x="189"/>
        <item x="390"/>
        <item x="211"/>
        <item x="494"/>
        <item x="253"/>
        <item x="584"/>
        <item x="182"/>
        <item x="676"/>
        <item x="679"/>
        <item x="715"/>
        <item x="263"/>
        <item x="71"/>
        <item x="140"/>
        <item x="622"/>
        <item x="12"/>
        <item x="496"/>
        <item x="270"/>
        <item x="595"/>
        <item x="634"/>
        <item x="684"/>
        <item x="287"/>
        <item x="610"/>
        <item x="562"/>
        <item x="92"/>
        <item x="712"/>
        <item x="379"/>
        <item x="400"/>
        <item x="251"/>
        <item x="98"/>
        <item x="666"/>
        <item x="259"/>
        <item x="83"/>
        <item x="455"/>
        <item x="662"/>
        <item x="350"/>
        <item x="429"/>
        <item x="527"/>
        <item x="196"/>
        <item x="222"/>
        <item x="210"/>
        <item x="232"/>
        <item x="58"/>
        <item x="587"/>
        <item x="164"/>
        <item x="233"/>
        <item x="328"/>
        <item x="258"/>
        <item x="187"/>
        <item x="729"/>
        <item x="206"/>
        <item x="593"/>
        <item x="531"/>
        <item x="660"/>
        <item x="355"/>
        <item x="464"/>
        <item x="310"/>
        <item x="198"/>
        <item x="162"/>
        <item x="212"/>
        <item x="345"/>
        <item x="365"/>
        <item x="514"/>
        <item x="428"/>
        <item x="577"/>
        <item x="262"/>
        <item x="404"/>
        <item x="631"/>
        <item x="61"/>
        <item x="526"/>
        <item x="415"/>
        <item x="602"/>
        <item x="288"/>
        <item x="286"/>
        <item x="60"/>
        <item x="714"/>
        <item x="694"/>
        <item x="381"/>
        <item x="541"/>
        <item x="609"/>
        <item x="266"/>
        <item x="554"/>
        <item x="219"/>
        <item x="6"/>
        <item x="474"/>
        <item x="648"/>
        <item x="353"/>
        <item x="422"/>
        <item x="313"/>
        <item x="41"/>
        <item x="545"/>
        <item x="607"/>
        <item x="207"/>
        <item x="693"/>
        <item x="395"/>
        <item x="100"/>
        <item x="237"/>
        <item x="718"/>
        <item x="339"/>
        <item x="2"/>
        <item x="319"/>
        <item x="265"/>
        <item x="585"/>
        <item x="54"/>
        <item x="633"/>
        <item x="191"/>
        <item x="153"/>
        <item x="375"/>
        <item x="11"/>
        <item x="290"/>
        <item x="599"/>
        <item x="651"/>
        <item x="68"/>
        <item x="158"/>
        <item x="101"/>
        <item x="668"/>
        <item x="700"/>
        <item x="116"/>
        <item x="603"/>
        <item x="417"/>
        <item x="42"/>
        <item x="560"/>
        <item x="354"/>
        <item x="34"/>
        <item x="682"/>
        <item x="358"/>
        <item x="449"/>
        <item x="36"/>
        <item x="601"/>
        <item x="130"/>
        <item x="696"/>
        <item x="669"/>
        <item x="705"/>
        <item x="333"/>
        <item x="279"/>
        <item x="437"/>
        <item x="246"/>
        <item x="28"/>
        <item x="117"/>
        <item x="125"/>
        <item x="673"/>
        <item x="500"/>
        <item x="623"/>
        <item x="267"/>
        <item x="154"/>
        <item x="678"/>
        <item x="605"/>
        <item x="75"/>
        <item x="688"/>
        <item x="532"/>
        <item x="378"/>
        <item x="268"/>
        <item x="161"/>
        <item x="325"/>
        <item x="45"/>
        <item x="665"/>
        <item x="477"/>
        <item x="249"/>
        <item x="173"/>
        <item x="501"/>
        <item x="114"/>
        <item x="612"/>
        <item x="716"/>
        <item x="667"/>
        <item x="169"/>
        <item x="536"/>
        <item x="48"/>
        <item x="343"/>
        <item x="711"/>
        <item x="621"/>
        <item x="225"/>
        <item x="467"/>
        <item x="636"/>
        <item x="299"/>
        <item x="248"/>
        <item x="398"/>
        <item x="9"/>
        <item x="598"/>
        <item x="431"/>
        <item x="456"/>
        <item x="239"/>
        <item x="119"/>
        <item x="672"/>
        <item x="324"/>
        <item x="725"/>
        <item x="102"/>
        <item x="566"/>
        <item x="120"/>
        <item x="217"/>
        <item x="337"/>
        <item x="442"/>
        <item x="650"/>
        <item x="178"/>
        <item x="342"/>
        <item x="721"/>
        <item x="142"/>
        <item x="388"/>
        <item x="574"/>
        <item x="193"/>
        <item x="380"/>
        <item x="377"/>
        <item x="247"/>
        <item x="512"/>
        <item x="51"/>
        <item x="24"/>
        <item x="76"/>
        <item x="488"/>
        <item x="505"/>
        <item x="103"/>
        <item x="453"/>
        <item x="374"/>
        <item x="230"/>
        <item x="418"/>
        <item x="334"/>
        <item x="723"/>
        <item x="109"/>
        <item x="685"/>
        <item x="151"/>
        <item x="551"/>
        <item x="569"/>
        <item x="115"/>
        <item x="627"/>
        <item x="213"/>
        <item x="383"/>
        <item x="364"/>
        <item x="671"/>
        <item x="384"/>
        <item x="376"/>
        <item x="348"/>
        <item x="236"/>
        <item x="136"/>
        <item x="572"/>
        <item x="411"/>
        <item x="55"/>
        <item x="269"/>
        <item x="359"/>
        <item x="131"/>
        <item x="289"/>
        <item x="188"/>
        <item x="4"/>
        <item x="242"/>
        <item x="454"/>
        <item x="528"/>
        <item x="686"/>
        <item x="637"/>
        <item x="724"/>
        <item x="245"/>
        <item x="293"/>
        <item x="326"/>
        <item x="573"/>
        <item x="167"/>
        <item x="77"/>
        <item x="370"/>
        <item x="0"/>
        <item x="205"/>
        <item x="553"/>
        <item x="495"/>
        <item x="419"/>
        <item x="656"/>
        <item x="606"/>
        <item x="186"/>
        <item x="235"/>
        <item x="643"/>
        <item x="298"/>
        <item x="620"/>
        <item x="35"/>
        <item x="276"/>
        <item x="294"/>
        <item x="630"/>
        <item x="478"/>
        <item x="97"/>
        <item x="273"/>
        <item x="506"/>
        <item x="722"/>
        <item x="306"/>
        <item x="202"/>
        <item x="172"/>
        <item x="393"/>
        <item x="461"/>
        <item x="600"/>
        <item x="338"/>
        <item x="406"/>
        <item x="192"/>
        <item x="689"/>
        <item x="680"/>
        <item x="148"/>
        <item x="366"/>
        <item x="543"/>
        <item x="38"/>
        <item x="112"/>
        <item x="332"/>
        <item x="104"/>
        <item x="641"/>
        <item x="548"/>
        <item x="283"/>
        <item x="568"/>
        <item x="297"/>
        <item x="168"/>
        <item x="88"/>
        <item x="438"/>
        <item x="614"/>
        <item x="399"/>
        <item x="542"/>
        <item x="275"/>
        <item x="386"/>
        <item x="214"/>
        <item x="3"/>
        <item x="181"/>
        <item x="277"/>
        <item x="264"/>
        <item x="441"/>
        <item x="664"/>
        <item x="317"/>
        <item x="392"/>
        <item x="628"/>
        <item x="170"/>
        <item x="420"/>
        <item x="199"/>
        <item x="300"/>
        <item x="675"/>
        <item x="683"/>
        <item x="699"/>
        <item x="485"/>
        <item x="344"/>
        <item x="106"/>
        <item x="425"/>
        <item x="552"/>
        <item x="356"/>
        <item x="13"/>
        <item x="518"/>
        <item x="340"/>
        <item x="176"/>
        <item x="274"/>
        <item x="159"/>
        <item x="524"/>
        <item x="64"/>
        <item x="396"/>
        <item x="271"/>
        <item x="93"/>
        <item x="8"/>
        <item x="578"/>
        <item x="535"/>
        <item x="107"/>
        <item x="625"/>
        <item x="517"/>
        <item x="135"/>
        <item x="710"/>
        <item x="459"/>
        <item x="491"/>
        <item x="486"/>
        <item x="209"/>
        <item x="174"/>
        <item x="346"/>
        <item x="481"/>
        <item x="272"/>
        <item x="692"/>
        <item x="534"/>
        <item x="604"/>
        <item x="369"/>
        <item x="423"/>
        <item x="149"/>
        <item x="179"/>
        <item x="157"/>
        <item x="59"/>
        <item x="472"/>
        <item x="160"/>
        <item x="177"/>
        <item x="53"/>
        <item x="480"/>
        <item x="243"/>
        <item x="371"/>
        <item x="502"/>
        <item x="123"/>
        <item x="515"/>
        <item x="347"/>
        <item x="653"/>
        <item x="52"/>
        <item x="197"/>
        <item x="644"/>
        <item x="702"/>
        <item x="617"/>
        <item x="642"/>
        <item x="489"/>
        <item x="10"/>
        <item x="133"/>
        <item x="331"/>
        <item x="194"/>
        <item x="483"/>
        <item x="302"/>
        <item x="145"/>
        <item x="128"/>
        <item x="525"/>
        <item x="17"/>
        <item x="201"/>
        <item x="94"/>
        <item x="576"/>
        <item x="185"/>
        <item x="73"/>
        <item x="649"/>
        <item x="408"/>
        <item x="446"/>
        <item x="261"/>
        <item x="516"/>
        <item x="538"/>
        <item x="229"/>
        <item x="303"/>
        <item x="677"/>
        <item x="482"/>
        <item x="487"/>
        <item x="471"/>
        <item x="445"/>
        <item x="363"/>
        <item x="592"/>
        <item x="519"/>
        <item x="72"/>
        <item x="50"/>
        <item t="default"/>
      </items>
    </pivotField>
    <pivotField compact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">
    <dataField name="求和项:loan_principal_amount" fld="7" baseField="0" baseItem="0"/>
  </dataFields>
  <formats count="2">
    <format dxfId="0">
      <pivotArea collapsedLevelsAreSubtotals="1" fieldPosition="0"/>
    </format>
    <format dxfId="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3:I20" firstHeaderRow="1" firstDataRow="2" firstDataCol="1"/>
  <pivotFields count="9">
    <pivotField axis="axisRow" compact="0" numFmtId="17" showAll="0">
      <items count="16">
        <item x="10"/>
        <item x="2"/>
        <item x="7"/>
        <item x="13"/>
        <item x="3"/>
        <item x="4"/>
        <item x="8"/>
        <item x="6"/>
        <item x="1"/>
        <item x="5"/>
        <item x="9"/>
        <item x="0"/>
        <item x="11"/>
        <item x="12"/>
        <item x="14"/>
        <item t="default"/>
      </items>
    </pivotField>
    <pivotField axis="axisCol" compact="0" showAll="0">
      <items count="8">
        <item x="6"/>
        <item x="0"/>
        <item x="2"/>
        <item x="4"/>
        <item x="3"/>
        <item x="1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计数项:loan_principal_amount" fld="7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34"/>
  <sheetViews>
    <sheetView tabSelected="1" zoomScale="53" zoomScaleNormal="53" topLeftCell="A16" workbookViewId="0">
      <selection activeCell="R18" sqref="R18"/>
    </sheetView>
  </sheetViews>
  <sheetFormatPr defaultColWidth="8.72727272727273" defaultRowHeight="14"/>
  <cols>
    <col min="1" max="1" width="8.44545454545455" customWidth="1"/>
    <col min="2" max="2" width="34.5454545454545"/>
    <col min="3" max="3" width="9.09090909090909"/>
    <col min="4" max="4" width="8.09090909090909"/>
    <col min="5" max="12" width="9.09090909090909"/>
    <col min="13" max="17" width="8.09090909090909"/>
    <col min="18" max="18" width="9.54545454545454"/>
    <col min="19" max="25" width="19.6363636363636"/>
    <col min="26" max="26" width="12.9090909090909"/>
    <col min="27" max="33" width="19.6363636363636"/>
    <col min="34" max="34" width="12.9090909090909"/>
    <col min="35" max="41" width="19.6363636363636"/>
    <col min="42" max="42" width="12.9090909090909"/>
    <col min="43" max="49" width="19.6363636363636"/>
    <col min="50" max="50" width="12.9090909090909"/>
    <col min="51" max="57" width="19.6363636363636"/>
    <col min="58" max="58" width="12.9090909090909"/>
    <col min="59" max="65" width="19.6363636363636"/>
    <col min="66" max="66" width="12.9090909090909"/>
    <col min="67" max="73" width="19.6363636363636"/>
    <col min="74" max="74" width="12.9090909090909"/>
    <col min="75" max="81" width="19.6363636363636"/>
    <col min="82" max="82" width="12.9090909090909"/>
    <col min="83" max="89" width="19.6363636363636"/>
    <col min="90" max="90" width="12.9090909090909"/>
    <col min="91" max="97" width="19.6363636363636"/>
    <col min="98" max="98" width="12.9090909090909"/>
    <col min="99" max="105" width="19.6363636363636"/>
    <col min="106" max="106" width="12.9090909090909"/>
    <col min="107" max="113" width="19.6363636363636"/>
    <col min="114" max="114" width="12.9090909090909"/>
    <col min="115" max="121" width="19.6363636363636"/>
    <col min="122" max="122" width="12.9090909090909"/>
    <col min="123" max="123" width="9.54545454545454"/>
  </cols>
  <sheetData>
    <row r="2" s="4" customFormat="1" spans="2:18">
      <c r="B2" s="4" t="s">
        <v>0</v>
      </c>
    </row>
    <row r="3" s="5" customFormat="1"/>
    <row r="4" s="5" customFormat="1" spans="2:18">
      <c r="B4" s="6" t="s">
        <v>1</v>
      </c>
    </row>
    <row r="6" spans="2:18">
      <c r="B6" t="s">
        <v>2</v>
      </c>
      <c r="C6" t="s">
        <v>3</v>
      </c>
    </row>
    <row r="7" spans="2:18">
      <c r="B7" t="s">
        <v>4</v>
      </c>
      <c r="C7" s="1">
        <v>45658</v>
      </c>
      <c r="D7" s="1">
        <v>45689</v>
      </c>
      <c r="E7" s="1">
        <v>45717</v>
      </c>
      <c r="F7" s="1">
        <v>45748</v>
      </c>
      <c r="G7" s="1">
        <v>45778</v>
      </c>
      <c r="H7" s="1">
        <v>45809</v>
      </c>
      <c r="I7" s="1">
        <v>45839</v>
      </c>
      <c r="J7" s="1">
        <v>45870</v>
      </c>
      <c r="K7" s="1">
        <v>45901</v>
      </c>
      <c r="L7" s="1">
        <v>45931</v>
      </c>
      <c r="M7" s="1">
        <v>45962</v>
      </c>
      <c r="N7" s="1">
        <v>45992</v>
      </c>
      <c r="O7" s="1">
        <v>46023</v>
      </c>
      <c r="P7" s="1">
        <v>46054</v>
      </c>
      <c r="Q7" s="1">
        <v>46082</v>
      </c>
    </row>
    <row r="8" spans="2:18">
      <c r="B8" t="s">
        <v>5</v>
      </c>
      <c r="C8" s="7">
        <v>900139442.28</v>
      </c>
      <c r="D8" s="7">
        <v>534939954.59</v>
      </c>
      <c r="E8" s="7">
        <v>544347059.65</v>
      </c>
      <c r="F8" s="7">
        <v>588595897.68</v>
      </c>
      <c r="G8" s="7">
        <v>721455224.3</v>
      </c>
      <c r="H8" s="7">
        <v>777848415</v>
      </c>
      <c r="I8" s="7">
        <v>679955345</v>
      </c>
      <c r="J8" s="7">
        <v>816690295</v>
      </c>
      <c r="K8" s="7">
        <v>823642200</v>
      </c>
      <c r="L8" s="7">
        <v>627222400</v>
      </c>
      <c r="M8" s="7">
        <v>497369200</v>
      </c>
      <c r="N8" s="7">
        <v>409540900</v>
      </c>
      <c r="O8" s="7">
        <v>383897400</v>
      </c>
      <c r="P8" s="7">
        <v>302368900</v>
      </c>
      <c r="Q8" s="7">
        <v>14258800</v>
      </c>
    </row>
    <row r="9" spans="2:18">
      <c r="B9" t="s">
        <v>6</v>
      </c>
      <c r="C9" s="7">
        <v>250285010.59</v>
      </c>
      <c r="D9" s="7">
        <v>158969517.89</v>
      </c>
      <c r="E9" s="7">
        <v>163741791.17</v>
      </c>
      <c r="F9" s="7">
        <v>164417147.43</v>
      </c>
      <c r="G9" s="7">
        <v>196817301.6</v>
      </c>
      <c r="H9" s="7">
        <v>213125261.06</v>
      </c>
      <c r="I9" s="7">
        <v>185716349.99</v>
      </c>
      <c r="J9" s="7">
        <v>212741129.76</v>
      </c>
      <c r="K9" s="7">
        <v>232657939.71</v>
      </c>
      <c r="L9" s="7">
        <v>181593300</v>
      </c>
      <c r="M9" s="7">
        <v>143930800</v>
      </c>
      <c r="N9" s="7">
        <v>120550700</v>
      </c>
      <c r="O9" s="7">
        <v>104798300</v>
      </c>
      <c r="P9" s="7">
        <v>89353600</v>
      </c>
      <c r="Q9" s="7">
        <v>7112200</v>
      </c>
    </row>
    <row r="10" spans="2:18">
      <c r="B10" t="s">
        <v>7</v>
      </c>
      <c r="C10" s="7">
        <v>185056096.06</v>
      </c>
      <c r="D10" s="7">
        <v>126574976.52</v>
      </c>
      <c r="E10" s="7">
        <v>130670629.44</v>
      </c>
      <c r="F10" s="7">
        <v>141460791.5</v>
      </c>
      <c r="G10" s="7">
        <v>143749489.61</v>
      </c>
      <c r="H10" s="7">
        <v>147762352.22</v>
      </c>
      <c r="I10" s="7">
        <v>142597686.01</v>
      </c>
      <c r="J10" s="7">
        <v>157507962.68</v>
      </c>
      <c r="K10" s="7">
        <v>169398117.6</v>
      </c>
      <c r="L10" s="7">
        <v>160428878.46</v>
      </c>
      <c r="M10" s="7">
        <v>140473400</v>
      </c>
      <c r="N10" s="7">
        <v>114509300</v>
      </c>
      <c r="O10" s="7">
        <v>105366600</v>
      </c>
      <c r="P10" s="7">
        <v>67629500</v>
      </c>
      <c r="Q10" s="7">
        <v>9023100</v>
      </c>
    </row>
    <row r="11" spans="2:18">
      <c r="B11" t="s">
        <v>8</v>
      </c>
      <c r="C11" s="7">
        <v>115698673.3</v>
      </c>
      <c r="D11" s="7">
        <v>116801161.86</v>
      </c>
      <c r="E11" s="7">
        <v>189751455.81</v>
      </c>
      <c r="F11" s="7">
        <v>182782798.61</v>
      </c>
      <c r="G11" s="7">
        <v>140178169.42</v>
      </c>
      <c r="H11" s="7">
        <v>128436622.35</v>
      </c>
      <c r="I11" s="7">
        <v>81852207.48</v>
      </c>
      <c r="J11" s="7">
        <v>84527988.86</v>
      </c>
      <c r="K11" s="7">
        <v>72693203.92</v>
      </c>
      <c r="L11" s="7">
        <v>98203400</v>
      </c>
      <c r="M11" s="7">
        <v>132950000</v>
      </c>
      <c r="N11" s="7">
        <v>65597700</v>
      </c>
      <c r="O11" s="7">
        <v>40155600</v>
      </c>
      <c r="P11" s="7">
        <v>20514000</v>
      </c>
      <c r="Q11" s="7">
        <v>1535600</v>
      </c>
    </row>
    <row r="12" spans="2:18">
      <c r="B12" t="s">
        <v>9</v>
      </c>
      <c r="C12" s="7">
        <v>5845400</v>
      </c>
      <c r="D12" s="7">
        <v>4575280</v>
      </c>
      <c r="E12" s="7">
        <v>5055500</v>
      </c>
      <c r="F12" s="7">
        <v>4782618.92</v>
      </c>
      <c r="G12" s="7">
        <v>4583080</v>
      </c>
      <c r="H12" s="7">
        <v>4461075</v>
      </c>
      <c r="I12" s="7">
        <v>4985211.3</v>
      </c>
      <c r="J12" s="7">
        <v>5533137.68</v>
      </c>
      <c r="K12" s="7">
        <v>4426844.76</v>
      </c>
      <c r="L12" s="7">
        <v>5433000</v>
      </c>
      <c r="M12" s="7">
        <v>4227400</v>
      </c>
      <c r="N12" s="7">
        <v>4684800</v>
      </c>
      <c r="O12" s="7">
        <v>3098800</v>
      </c>
      <c r="P12" s="7">
        <v>430800</v>
      </c>
      <c r="Q12" s="7">
        <v>59600</v>
      </c>
    </row>
    <row r="13" spans="2:18">
      <c r="B13" t="s">
        <v>10</v>
      </c>
      <c r="C13" s="7">
        <v>38847991.69</v>
      </c>
      <c r="D13" s="7">
        <v>27224935.59</v>
      </c>
      <c r="E13" s="7">
        <v>31104786.87</v>
      </c>
      <c r="F13" s="7">
        <v>29124759.51</v>
      </c>
      <c r="G13" s="7">
        <v>35700879.17</v>
      </c>
      <c r="H13" s="7">
        <v>33108592.24</v>
      </c>
      <c r="I13" s="7">
        <v>27588704</v>
      </c>
      <c r="J13" s="7">
        <v>29044244.37</v>
      </c>
      <c r="K13" s="7">
        <v>23403064.99</v>
      </c>
      <c r="L13" s="7">
        <v>20097368.8</v>
      </c>
      <c r="M13" s="7">
        <v>13855800</v>
      </c>
      <c r="N13" s="7">
        <v>7033000</v>
      </c>
      <c r="O13" s="7">
        <v>3886400</v>
      </c>
      <c r="P13" s="7">
        <v>77900</v>
      </c>
      <c r="Q13" s="7">
        <v>21200</v>
      </c>
    </row>
    <row r="14" spans="2:18">
      <c r="B14" t="s">
        <v>11</v>
      </c>
      <c r="C14" s="7">
        <v>1495872613.92</v>
      </c>
      <c r="D14" s="7">
        <v>969085826.45</v>
      </c>
      <c r="E14" s="7">
        <v>1064671222.94</v>
      </c>
      <c r="F14" s="7">
        <v>1111164013.65</v>
      </c>
      <c r="G14" s="7">
        <v>1242484144.1</v>
      </c>
      <c r="H14" s="7">
        <v>1304742317.87</v>
      </c>
      <c r="I14" s="7">
        <v>1122695503.78</v>
      </c>
      <c r="J14" s="7">
        <v>1306044758.35</v>
      </c>
      <c r="K14" s="7">
        <v>1326221370.98</v>
      </c>
      <c r="L14" s="7">
        <v>1092978347.26</v>
      </c>
      <c r="M14" s="7">
        <v>932806600</v>
      </c>
      <c r="N14" s="7">
        <v>721916400</v>
      </c>
      <c r="O14" s="7">
        <v>641203100</v>
      </c>
      <c r="P14" s="7">
        <v>480374700</v>
      </c>
      <c r="Q14" s="7">
        <v>32010500</v>
      </c>
    </row>
    <row r="16" spans="2:18">
      <c r="B16" t="s">
        <v>12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8" spans="2:17">
      <c r="B18" s="2" t="s">
        <v>13</v>
      </c>
      <c r="C18" s="8">
        <f>C7</f>
        <v>45658</v>
      </c>
      <c r="D18" s="8">
        <f t="shared" ref="D18:R18" si="0">D7</f>
        <v>45689</v>
      </c>
      <c r="E18" s="8">
        <f t="shared" si="0"/>
        <v>45717</v>
      </c>
      <c r="F18" s="8">
        <f t="shared" si="0"/>
        <v>45748</v>
      </c>
      <c r="G18" s="8">
        <f t="shared" si="0"/>
        <v>45778</v>
      </c>
      <c r="H18" s="8">
        <f t="shared" si="0"/>
        <v>45809</v>
      </c>
      <c r="I18" s="8">
        <f t="shared" si="0"/>
        <v>45839</v>
      </c>
      <c r="J18" s="8">
        <f t="shared" si="0"/>
        <v>45870</v>
      </c>
      <c r="K18" s="8">
        <f t="shared" si="0"/>
        <v>45901</v>
      </c>
      <c r="L18" s="8">
        <f t="shared" si="0"/>
        <v>45931</v>
      </c>
      <c r="M18" s="8">
        <f t="shared" si="0"/>
        <v>45962</v>
      </c>
      <c r="N18" s="8">
        <f t="shared" si="0"/>
        <v>45992</v>
      </c>
      <c r="O18" s="8">
        <f t="shared" si="0"/>
        <v>46023</v>
      </c>
      <c r="P18" s="8">
        <f t="shared" si="0"/>
        <v>46054</v>
      </c>
      <c r="Q18" s="8">
        <f t="shared" si="0"/>
        <v>46082</v>
      </c>
    </row>
    <row r="19" spans="2:17">
      <c r="B19" s="2" t="s">
        <v>5</v>
      </c>
      <c r="C19" s="9">
        <f>C8</f>
        <v>900139442.28</v>
      </c>
      <c r="D19" s="9">
        <f t="shared" ref="D19:R19" si="1">D8</f>
        <v>534939954.59</v>
      </c>
      <c r="E19" s="9">
        <f t="shared" si="1"/>
        <v>544347059.65</v>
      </c>
      <c r="F19" s="9">
        <f t="shared" si="1"/>
        <v>588595897.68</v>
      </c>
      <c r="G19" s="9">
        <f t="shared" si="1"/>
        <v>721455224.3</v>
      </c>
      <c r="H19" s="9">
        <f t="shared" si="1"/>
        <v>777848415</v>
      </c>
      <c r="I19" s="9">
        <f t="shared" si="1"/>
        <v>679955345</v>
      </c>
      <c r="J19" s="9">
        <f t="shared" si="1"/>
        <v>816690295</v>
      </c>
      <c r="K19" s="9">
        <f t="shared" si="1"/>
        <v>823642200</v>
      </c>
      <c r="L19" s="9">
        <f t="shared" si="1"/>
        <v>627222400</v>
      </c>
      <c r="M19" s="9">
        <f t="shared" si="1"/>
        <v>497369200</v>
      </c>
      <c r="N19" s="9">
        <f t="shared" si="1"/>
        <v>409540900</v>
      </c>
      <c r="O19" s="9">
        <f t="shared" si="1"/>
        <v>383897400</v>
      </c>
      <c r="P19" s="9">
        <f t="shared" si="1"/>
        <v>302368900</v>
      </c>
      <c r="Q19" s="9">
        <f t="shared" si="1"/>
        <v>14258800</v>
      </c>
    </row>
    <row r="20" spans="2:17">
      <c r="B20" s="2" t="s">
        <v>6</v>
      </c>
      <c r="C20" s="9">
        <f>C9</f>
        <v>250285010.59</v>
      </c>
      <c r="D20" s="9">
        <f t="shared" ref="D20:R20" si="2">D9</f>
        <v>158969517.89</v>
      </c>
      <c r="E20" s="9">
        <f t="shared" si="2"/>
        <v>163741791.17</v>
      </c>
      <c r="F20" s="9">
        <f t="shared" si="2"/>
        <v>164417147.43</v>
      </c>
      <c r="G20" s="9">
        <f t="shared" si="2"/>
        <v>196817301.6</v>
      </c>
      <c r="H20" s="9">
        <f t="shared" si="2"/>
        <v>213125261.06</v>
      </c>
      <c r="I20" s="9">
        <f t="shared" si="2"/>
        <v>185716349.99</v>
      </c>
      <c r="J20" s="9">
        <f t="shared" si="2"/>
        <v>212741129.76</v>
      </c>
      <c r="K20" s="9">
        <f t="shared" si="2"/>
        <v>232657939.71</v>
      </c>
      <c r="L20" s="9">
        <f t="shared" si="2"/>
        <v>181593300</v>
      </c>
      <c r="M20" s="9">
        <f t="shared" si="2"/>
        <v>143930800</v>
      </c>
      <c r="N20" s="9">
        <f t="shared" si="2"/>
        <v>120550700</v>
      </c>
      <c r="O20" s="9">
        <f t="shared" si="2"/>
        <v>104798300</v>
      </c>
      <c r="P20" s="9">
        <f t="shared" si="2"/>
        <v>89353600</v>
      </c>
      <c r="Q20" s="9">
        <f t="shared" si="2"/>
        <v>7112200</v>
      </c>
    </row>
    <row r="21" spans="2:17">
      <c r="B21" s="2" t="s">
        <v>7</v>
      </c>
      <c r="C21" s="9">
        <f>C10</f>
        <v>185056096.06</v>
      </c>
      <c r="D21" s="9">
        <f t="shared" ref="D21:R21" si="3">D10</f>
        <v>126574976.52</v>
      </c>
      <c r="E21" s="9">
        <f t="shared" si="3"/>
        <v>130670629.44</v>
      </c>
      <c r="F21" s="9">
        <f t="shared" si="3"/>
        <v>141460791.5</v>
      </c>
      <c r="G21" s="9">
        <f t="shared" si="3"/>
        <v>143749489.61</v>
      </c>
      <c r="H21" s="9">
        <f t="shared" si="3"/>
        <v>147762352.22</v>
      </c>
      <c r="I21" s="9">
        <f t="shared" si="3"/>
        <v>142597686.01</v>
      </c>
      <c r="J21" s="9">
        <f t="shared" si="3"/>
        <v>157507962.68</v>
      </c>
      <c r="K21" s="9">
        <f t="shared" si="3"/>
        <v>169398117.6</v>
      </c>
      <c r="L21" s="9">
        <f t="shared" si="3"/>
        <v>160428878.46</v>
      </c>
      <c r="M21" s="9">
        <f t="shared" si="3"/>
        <v>140473400</v>
      </c>
      <c r="N21" s="9">
        <f t="shared" si="3"/>
        <v>114509300</v>
      </c>
      <c r="O21" s="9">
        <f t="shared" si="3"/>
        <v>105366600</v>
      </c>
      <c r="P21" s="9">
        <f t="shared" si="3"/>
        <v>67629500</v>
      </c>
      <c r="Q21" s="9">
        <f t="shared" si="3"/>
        <v>9023100</v>
      </c>
    </row>
    <row r="22" spans="2:17">
      <c r="B22" s="2" t="s">
        <v>14</v>
      </c>
      <c r="C22" s="9">
        <f>C11+C12</f>
        <v>121544073.3</v>
      </c>
      <c r="D22" s="9">
        <f t="shared" ref="D22:R22" si="4">D11+D12</f>
        <v>121376441.86</v>
      </c>
      <c r="E22" s="9">
        <f t="shared" si="4"/>
        <v>194806955.81</v>
      </c>
      <c r="F22" s="9">
        <f t="shared" si="4"/>
        <v>187565417.53</v>
      </c>
      <c r="G22" s="9">
        <f t="shared" si="4"/>
        <v>144761249.42</v>
      </c>
      <c r="H22" s="9">
        <f t="shared" si="4"/>
        <v>132897697.35</v>
      </c>
      <c r="I22" s="9">
        <f t="shared" si="4"/>
        <v>86837418.78</v>
      </c>
      <c r="J22" s="9">
        <f t="shared" si="4"/>
        <v>90061126.54</v>
      </c>
      <c r="K22" s="9">
        <f t="shared" si="4"/>
        <v>77120048.68</v>
      </c>
      <c r="L22" s="9">
        <f t="shared" si="4"/>
        <v>103636400</v>
      </c>
      <c r="M22" s="9">
        <f t="shared" si="4"/>
        <v>137177400</v>
      </c>
      <c r="N22" s="9">
        <f t="shared" si="4"/>
        <v>70282500</v>
      </c>
      <c r="O22" s="9">
        <f t="shared" si="4"/>
        <v>43254400</v>
      </c>
      <c r="P22" s="9">
        <f t="shared" si="4"/>
        <v>20944800</v>
      </c>
      <c r="Q22" s="9">
        <f t="shared" si="4"/>
        <v>1595200</v>
      </c>
    </row>
    <row r="23" spans="2:17">
      <c r="B23" s="2" t="s">
        <v>10</v>
      </c>
      <c r="C23" s="9">
        <f>C13</f>
        <v>38847991.69</v>
      </c>
      <c r="D23" s="9">
        <f t="shared" ref="D23:R23" si="5">D13</f>
        <v>27224935.59</v>
      </c>
      <c r="E23" s="9">
        <f t="shared" si="5"/>
        <v>31104786.87</v>
      </c>
      <c r="F23" s="9">
        <f t="shared" si="5"/>
        <v>29124759.51</v>
      </c>
      <c r="G23" s="9">
        <f t="shared" si="5"/>
        <v>35700879.17</v>
      </c>
      <c r="H23" s="9">
        <f t="shared" si="5"/>
        <v>33108592.24</v>
      </c>
      <c r="I23" s="9">
        <f t="shared" si="5"/>
        <v>27588704</v>
      </c>
      <c r="J23" s="9">
        <f t="shared" si="5"/>
        <v>29044244.37</v>
      </c>
      <c r="K23" s="9">
        <f t="shared" si="5"/>
        <v>23403064.99</v>
      </c>
      <c r="L23" s="9">
        <f t="shared" si="5"/>
        <v>20097368.8</v>
      </c>
      <c r="M23" s="9">
        <f t="shared" si="5"/>
        <v>13855800</v>
      </c>
      <c r="N23" s="9">
        <f t="shared" si="5"/>
        <v>7033000</v>
      </c>
      <c r="O23" s="9">
        <f t="shared" si="5"/>
        <v>3886400</v>
      </c>
      <c r="P23" s="9">
        <f t="shared" si="5"/>
        <v>77900</v>
      </c>
      <c r="Q23" s="9">
        <f t="shared" si="5"/>
        <v>21200</v>
      </c>
    </row>
    <row r="24" spans="2:17">
      <c r="B24" s="2" t="s">
        <v>11</v>
      </c>
      <c r="C24" s="9">
        <f>C14</f>
        <v>1495872613.92</v>
      </c>
      <c r="D24" s="9">
        <f t="shared" ref="D24:R24" si="6">D14</f>
        <v>969085826.45</v>
      </c>
      <c r="E24" s="9">
        <f t="shared" si="6"/>
        <v>1064671222.94</v>
      </c>
      <c r="F24" s="9">
        <f t="shared" si="6"/>
        <v>1111164013.65</v>
      </c>
      <c r="G24" s="9">
        <f t="shared" si="6"/>
        <v>1242484144.1</v>
      </c>
      <c r="H24" s="9">
        <f t="shared" si="6"/>
        <v>1304742317.87</v>
      </c>
      <c r="I24" s="9">
        <f t="shared" si="6"/>
        <v>1122695503.78</v>
      </c>
      <c r="J24" s="9">
        <f t="shared" si="6"/>
        <v>1306044758.35</v>
      </c>
      <c r="K24" s="9">
        <f t="shared" si="6"/>
        <v>1326221370.98</v>
      </c>
      <c r="L24" s="9">
        <f t="shared" si="6"/>
        <v>1092978347.26</v>
      </c>
      <c r="M24" s="9">
        <f t="shared" si="6"/>
        <v>932806600</v>
      </c>
      <c r="N24" s="9">
        <f t="shared" si="6"/>
        <v>721916400</v>
      </c>
      <c r="O24" s="9">
        <f t="shared" si="6"/>
        <v>641203100</v>
      </c>
      <c r="P24" s="9">
        <f t="shared" si="6"/>
        <v>480374700</v>
      </c>
      <c r="Q24" s="9">
        <f t="shared" si="6"/>
        <v>32010500</v>
      </c>
    </row>
    <row r="25" spans="2:17">
      <c r="B25" s="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2:17">
      <c r="B26" s="6" t="s">
        <v>15</v>
      </c>
      <c r="C26" s="9" t="s">
        <v>16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2:17">
      <c r="B27" s="6" t="s">
        <v>17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2:17">
      <c r="B28" s="6" t="s">
        <v>18</v>
      </c>
      <c r="C28" s="9" t="s">
        <v>19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2:17">
      <c r="B29" s="6" t="s">
        <v>20</v>
      </c>
      <c r="C29" s="9" t="s">
        <v>19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2:17">
      <c r="B30" s="6" t="s">
        <v>21</v>
      </c>
      <c r="C30" s="9" t="s">
        <v>22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2:17">
      <c r="B31" s="6" t="s">
        <v>23</v>
      </c>
      <c r="C31" s="9" t="s">
        <v>24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2:17">
      <c r="B32" s="6" t="s">
        <v>25</v>
      </c>
      <c r="C32" s="9" t="s">
        <v>26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2:17">
      <c r="B33" s="6" t="s">
        <v>27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2:17">
      <c r="B34" s="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48"/>
  <sheetViews>
    <sheetView workbookViewId="0">
      <selection activeCell="E7" sqref="E7"/>
    </sheetView>
  </sheetViews>
  <sheetFormatPr defaultColWidth="9" defaultRowHeight="14"/>
  <cols>
    <col min="1" max="9" width="12.6363636363636" style="2"/>
  </cols>
  <sheetData>
    <row r="1" spans="1:9">
      <c r="A1" s="2" t="s">
        <v>3</v>
      </c>
      <c r="B1" s="2" t="s">
        <v>4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</row>
    <row r="2" spans="1:9">
      <c r="A2" s="3">
        <v>45992</v>
      </c>
      <c r="B2" s="2" t="s">
        <v>7</v>
      </c>
      <c r="C2" s="2">
        <v>743527</v>
      </c>
      <c r="D2" s="2">
        <v>2600</v>
      </c>
      <c r="E2" s="2">
        <v>1685</v>
      </c>
      <c r="F2" s="2">
        <v>1654</v>
      </c>
      <c r="G2" s="2">
        <v>18025866436</v>
      </c>
      <c r="H2" s="2">
        <v>28110000</v>
      </c>
      <c r="I2" s="2" t="s">
        <v>35</v>
      </c>
    </row>
    <row r="3" spans="1:9">
      <c r="A3" s="3">
        <v>45901</v>
      </c>
      <c r="B3" s="2" t="s">
        <v>9</v>
      </c>
      <c r="C3" s="2">
        <v>6028</v>
      </c>
      <c r="D3" s="2">
        <v>135</v>
      </c>
      <c r="E3" s="2">
        <v>83</v>
      </c>
      <c r="F3" s="2">
        <v>83</v>
      </c>
      <c r="G3" s="2">
        <v>53747650</v>
      </c>
      <c r="H3" s="2">
        <v>860200</v>
      </c>
      <c r="I3" s="2" t="s">
        <v>35</v>
      </c>
    </row>
    <row r="4" spans="1:9">
      <c r="A4" s="3">
        <v>45689</v>
      </c>
      <c r="B4" s="2" t="s">
        <v>6</v>
      </c>
      <c r="C4" s="2">
        <v>804</v>
      </c>
      <c r="D4" s="2">
        <v>385</v>
      </c>
      <c r="E4" s="2">
        <v>343</v>
      </c>
      <c r="F4" s="2">
        <v>339</v>
      </c>
      <c r="G4" s="2">
        <v>16552645</v>
      </c>
      <c r="H4" s="2">
        <v>4791312.64</v>
      </c>
      <c r="I4" s="2" t="s">
        <v>36</v>
      </c>
    </row>
    <row r="5" spans="1:9">
      <c r="A5" s="3">
        <v>45689</v>
      </c>
      <c r="B5" s="2" t="s">
        <v>8</v>
      </c>
      <c r="C5" s="2">
        <v>46013</v>
      </c>
      <c r="D5" s="2">
        <v>8111</v>
      </c>
      <c r="E5" s="2">
        <v>6492</v>
      </c>
      <c r="F5" s="2">
        <v>6429</v>
      </c>
      <c r="G5" s="2">
        <v>309735835</v>
      </c>
      <c r="H5" s="2">
        <v>41218598.55</v>
      </c>
      <c r="I5" s="2" t="s">
        <v>37</v>
      </c>
    </row>
    <row r="6" spans="1:9">
      <c r="A6" s="3">
        <v>45778</v>
      </c>
      <c r="B6" s="2" t="s">
        <v>7</v>
      </c>
      <c r="C6" s="2">
        <v>726895</v>
      </c>
      <c r="D6" s="2">
        <v>5199</v>
      </c>
      <c r="E6" s="2">
        <v>2207</v>
      </c>
      <c r="F6" s="2">
        <v>2200</v>
      </c>
      <c r="G6" s="2">
        <v>10474254559</v>
      </c>
      <c r="H6" s="2">
        <v>26063901.52</v>
      </c>
      <c r="I6" s="2" t="s">
        <v>37</v>
      </c>
    </row>
    <row r="7" spans="1:9">
      <c r="A7" s="3">
        <v>45809</v>
      </c>
      <c r="B7" s="2" t="s">
        <v>9</v>
      </c>
      <c r="C7" s="2">
        <v>2290</v>
      </c>
      <c r="D7" s="2">
        <v>52</v>
      </c>
      <c r="E7" s="2">
        <v>20</v>
      </c>
      <c r="F7" s="2">
        <v>19</v>
      </c>
      <c r="G7" s="2">
        <v>15253145</v>
      </c>
      <c r="H7" s="2">
        <v>98500</v>
      </c>
      <c r="I7" s="2" t="s">
        <v>38</v>
      </c>
    </row>
    <row r="8" spans="1:9">
      <c r="A8" s="3">
        <v>45931</v>
      </c>
      <c r="B8" s="2" t="s">
        <v>8</v>
      </c>
      <c r="C8" s="2">
        <v>8502</v>
      </c>
      <c r="D8" s="2">
        <v>752</v>
      </c>
      <c r="E8" s="2">
        <v>581</v>
      </c>
      <c r="F8" s="2">
        <v>571</v>
      </c>
      <c r="G8" s="2">
        <v>72736825</v>
      </c>
      <c r="H8" s="2">
        <v>4081600</v>
      </c>
      <c r="I8" s="2" t="s">
        <v>36</v>
      </c>
    </row>
    <row r="9" spans="1:9">
      <c r="A9" s="3">
        <v>45870</v>
      </c>
      <c r="B9" s="2" t="s">
        <v>8</v>
      </c>
      <c r="C9" s="2">
        <v>2981</v>
      </c>
      <c r="D9" s="2">
        <v>181</v>
      </c>
      <c r="E9" s="2">
        <v>130</v>
      </c>
      <c r="F9" s="2">
        <v>130</v>
      </c>
      <c r="G9" s="2">
        <v>24078105</v>
      </c>
      <c r="H9" s="2">
        <v>795025.05</v>
      </c>
      <c r="I9" s="2" t="s">
        <v>39</v>
      </c>
    </row>
    <row r="10" spans="1:9">
      <c r="A10" s="3">
        <v>45931</v>
      </c>
      <c r="B10" s="2" t="s">
        <v>5</v>
      </c>
      <c r="C10" s="2">
        <v>7040</v>
      </c>
      <c r="D10" s="2">
        <v>4052</v>
      </c>
      <c r="E10" s="2">
        <v>3764</v>
      </c>
      <c r="F10" s="2">
        <v>3705</v>
      </c>
      <c r="G10" s="2">
        <v>135223300</v>
      </c>
      <c r="H10" s="2">
        <v>51588900</v>
      </c>
      <c r="I10" s="2" t="s">
        <v>40</v>
      </c>
    </row>
    <row r="11" spans="1:9">
      <c r="A11" s="3">
        <v>45717</v>
      </c>
      <c r="B11" s="2" t="s">
        <v>8</v>
      </c>
      <c r="C11" s="2">
        <v>8049</v>
      </c>
      <c r="D11" s="2">
        <v>1792</v>
      </c>
      <c r="E11" s="2">
        <v>1457</v>
      </c>
      <c r="F11" s="2">
        <v>1435</v>
      </c>
      <c r="G11" s="2">
        <v>51025615</v>
      </c>
      <c r="H11" s="2">
        <v>8953636.97</v>
      </c>
      <c r="I11" s="2" t="s">
        <v>40</v>
      </c>
    </row>
    <row r="12" spans="1:9">
      <c r="A12" s="3">
        <v>45931</v>
      </c>
      <c r="B12" s="2" t="s">
        <v>5</v>
      </c>
      <c r="C12" s="2">
        <v>15250</v>
      </c>
      <c r="D12" s="2">
        <v>9069</v>
      </c>
      <c r="E12" s="2">
        <v>8369</v>
      </c>
      <c r="F12" s="2">
        <v>8224</v>
      </c>
      <c r="G12" s="2">
        <v>273742500</v>
      </c>
      <c r="H12" s="2">
        <v>107612000</v>
      </c>
      <c r="I12" s="2" t="s">
        <v>37</v>
      </c>
    </row>
    <row r="13" spans="1:9">
      <c r="A13" s="3">
        <v>45839</v>
      </c>
      <c r="B13" s="2" t="s">
        <v>6</v>
      </c>
      <c r="C13" s="2">
        <v>977</v>
      </c>
      <c r="D13" s="2">
        <v>576</v>
      </c>
      <c r="E13" s="2">
        <v>507</v>
      </c>
      <c r="F13" s="2">
        <v>501</v>
      </c>
      <c r="G13" s="2">
        <v>14222460</v>
      </c>
      <c r="H13" s="2">
        <v>5245498.56</v>
      </c>
      <c r="I13" s="2" t="s">
        <v>40</v>
      </c>
    </row>
    <row r="14" spans="1:9">
      <c r="A14" s="3">
        <v>45962</v>
      </c>
      <c r="B14" s="2" t="s">
        <v>7</v>
      </c>
      <c r="C14" s="2">
        <v>128911</v>
      </c>
      <c r="D14" s="2">
        <v>414</v>
      </c>
      <c r="E14" s="2">
        <v>184</v>
      </c>
      <c r="F14" s="2">
        <v>183</v>
      </c>
      <c r="G14" s="2">
        <v>1765278627</v>
      </c>
      <c r="H14" s="2">
        <v>2292200</v>
      </c>
      <c r="I14" s="2" t="s">
        <v>38</v>
      </c>
    </row>
    <row r="15" spans="1:9">
      <c r="A15" s="3">
        <v>45658</v>
      </c>
      <c r="B15" s="2" t="s">
        <v>6</v>
      </c>
      <c r="C15" s="2">
        <v>6535</v>
      </c>
      <c r="D15" s="2">
        <v>3355</v>
      </c>
      <c r="E15" s="2">
        <v>3141</v>
      </c>
      <c r="F15" s="2">
        <v>3111</v>
      </c>
      <c r="G15" s="2">
        <v>140471740</v>
      </c>
      <c r="H15" s="2">
        <v>47353788.43</v>
      </c>
      <c r="I15" s="2" t="s">
        <v>41</v>
      </c>
    </row>
    <row r="16" spans="1:9">
      <c r="A16" s="3">
        <v>45901</v>
      </c>
      <c r="B16" s="2" t="s">
        <v>9</v>
      </c>
      <c r="C16" s="2">
        <v>1022</v>
      </c>
      <c r="D16" s="2">
        <v>5</v>
      </c>
      <c r="E16" s="2">
        <v>4</v>
      </c>
      <c r="F16" s="2">
        <v>4</v>
      </c>
      <c r="G16" s="2">
        <v>7550290</v>
      </c>
      <c r="H16" s="2">
        <v>16900</v>
      </c>
      <c r="I16" s="2" t="s">
        <v>39</v>
      </c>
    </row>
    <row r="17" spans="1:9">
      <c r="A17" s="3">
        <v>45717</v>
      </c>
      <c r="B17" s="2" t="s">
        <v>8</v>
      </c>
      <c r="C17" s="2">
        <v>2278</v>
      </c>
      <c r="D17" s="2">
        <v>323</v>
      </c>
      <c r="E17" s="2">
        <v>251</v>
      </c>
      <c r="F17" s="2">
        <v>243</v>
      </c>
      <c r="G17" s="2">
        <v>17588860</v>
      </c>
      <c r="H17" s="2">
        <v>1474495.42</v>
      </c>
      <c r="I17" s="2" t="s">
        <v>39</v>
      </c>
    </row>
    <row r="18" spans="1:9">
      <c r="A18" s="3">
        <v>46023</v>
      </c>
      <c r="B18" s="2" t="s">
        <v>9</v>
      </c>
      <c r="C18" s="2">
        <v>1420</v>
      </c>
      <c r="D18" s="2">
        <v>23</v>
      </c>
      <c r="E18" s="2">
        <v>14</v>
      </c>
      <c r="F18" s="2">
        <v>13</v>
      </c>
      <c r="G18" s="2">
        <v>12507835</v>
      </c>
      <c r="H18" s="2">
        <v>97700</v>
      </c>
      <c r="I18" s="2" t="s">
        <v>36</v>
      </c>
    </row>
    <row r="19" spans="1:9">
      <c r="A19" s="3">
        <v>45992</v>
      </c>
      <c r="B19" s="2" t="s">
        <v>5</v>
      </c>
      <c r="C19" s="2">
        <v>18641</v>
      </c>
      <c r="D19" s="2">
        <v>7288</v>
      </c>
      <c r="E19" s="2">
        <v>7037</v>
      </c>
      <c r="F19" s="2">
        <v>6993</v>
      </c>
      <c r="G19" s="2">
        <v>548148700</v>
      </c>
      <c r="H19" s="2">
        <v>141634200</v>
      </c>
      <c r="I19" s="2" t="s">
        <v>41</v>
      </c>
    </row>
    <row r="20" spans="1:9">
      <c r="A20" s="3">
        <v>45809</v>
      </c>
      <c r="B20" s="2" t="s">
        <v>6</v>
      </c>
      <c r="C20" s="2">
        <v>137</v>
      </c>
      <c r="D20" s="2">
        <v>59</v>
      </c>
      <c r="E20" s="2">
        <v>50</v>
      </c>
      <c r="F20" s="2">
        <v>48</v>
      </c>
      <c r="G20" s="2">
        <v>2002900</v>
      </c>
      <c r="H20" s="2">
        <v>495318.7</v>
      </c>
      <c r="I20" s="2" t="s">
        <v>39</v>
      </c>
    </row>
    <row r="21" spans="1:9">
      <c r="A21" s="3">
        <v>46054</v>
      </c>
      <c r="B21" s="2" t="s">
        <v>5</v>
      </c>
      <c r="C21" s="2">
        <v>152</v>
      </c>
      <c r="D21" s="2">
        <v>102</v>
      </c>
      <c r="E21" s="2">
        <v>99</v>
      </c>
      <c r="F21" s="2">
        <v>99</v>
      </c>
      <c r="G21" s="2">
        <v>1173100</v>
      </c>
      <c r="H21" s="2">
        <v>614700</v>
      </c>
      <c r="I21" s="2" t="s">
        <v>38</v>
      </c>
    </row>
    <row r="22" spans="1:9">
      <c r="A22" s="3">
        <v>45962</v>
      </c>
      <c r="B22" s="2" t="s">
        <v>5</v>
      </c>
      <c r="C22" s="2">
        <v>13</v>
      </c>
      <c r="D22" s="2">
        <v>7</v>
      </c>
      <c r="E22" s="2">
        <v>7</v>
      </c>
      <c r="F22" s="2">
        <v>7</v>
      </c>
      <c r="G22" s="2">
        <v>135200</v>
      </c>
      <c r="H22" s="2">
        <v>47800</v>
      </c>
      <c r="I22" s="2" t="s">
        <v>39</v>
      </c>
    </row>
    <row r="23" spans="1:9">
      <c r="A23" s="3">
        <v>45778</v>
      </c>
      <c r="B23" s="2" t="s">
        <v>7</v>
      </c>
      <c r="C23" s="2">
        <v>108119</v>
      </c>
      <c r="D23" s="2">
        <v>210</v>
      </c>
      <c r="E23" s="2">
        <v>76</v>
      </c>
      <c r="F23" s="2">
        <v>74</v>
      </c>
      <c r="G23" s="2">
        <v>1697929790</v>
      </c>
      <c r="H23" s="2">
        <v>731463.16</v>
      </c>
      <c r="I23" s="2" t="s">
        <v>39</v>
      </c>
    </row>
    <row r="24" spans="1:9">
      <c r="A24" s="3">
        <v>45748</v>
      </c>
      <c r="B24" s="2" t="s">
        <v>6</v>
      </c>
      <c r="C24" s="2">
        <v>134</v>
      </c>
      <c r="D24" s="2">
        <v>45</v>
      </c>
      <c r="E24" s="2">
        <v>35</v>
      </c>
      <c r="F24" s="2">
        <v>33</v>
      </c>
      <c r="G24" s="2">
        <v>2135100</v>
      </c>
      <c r="H24" s="2">
        <v>489327.98</v>
      </c>
      <c r="I24" s="2" t="s">
        <v>39</v>
      </c>
    </row>
    <row r="25" spans="1:9">
      <c r="A25" s="3">
        <v>46082</v>
      </c>
      <c r="B25" s="2" t="s">
        <v>8</v>
      </c>
      <c r="C25" s="2">
        <v>26141</v>
      </c>
      <c r="D25" s="2">
        <v>71</v>
      </c>
      <c r="E25" s="2">
        <v>31</v>
      </c>
      <c r="F25" s="2">
        <v>32</v>
      </c>
      <c r="G25" s="2">
        <v>238144525</v>
      </c>
      <c r="H25" s="2">
        <v>204300</v>
      </c>
      <c r="I25" s="2" t="s">
        <v>35</v>
      </c>
    </row>
    <row r="26" spans="1:9">
      <c r="A26" s="3">
        <v>45658</v>
      </c>
      <c r="B26" s="2" t="s">
        <v>8</v>
      </c>
      <c r="C26" s="2">
        <v>15213</v>
      </c>
      <c r="D26" s="2">
        <v>3000</v>
      </c>
      <c r="E26" s="2">
        <v>2460</v>
      </c>
      <c r="F26" s="2">
        <v>2459</v>
      </c>
      <c r="G26" s="2">
        <v>116271500</v>
      </c>
      <c r="H26" s="2">
        <v>18556644.2</v>
      </c>
      <c r="I26" s="2" t="s">
        <v>35</v>
      </c>
    </row>
    <row r="27" spans="1:9">
      <c r="A27" s="3">
        <v>45778</v>
      </c>
      <c r="B27" s="2" t="s">
        <v>7</v>
      </c>
      <c r="C27" s="2">
        <v>5613</v>
      </c>
      <c r="D27" s="2">
        <v>53</v>
      </c>
      <c r="E27" s="2">
        <v>10</v>
      </c>
      <c r="F27" s="2">
        <v>10</v>
      </c>
      <c r="G27" s="2">
        <v>70387305</v>
      </c>
      <c r="H27" s="2">
        <v>260000</v>
      </c>
      <c r="I27" s="2" t="s">
        <v>42</v>
      </c>
    </row>
    <row r="28" spans="1:9">
      <c r="A28" s="3">
        <v>45839</v>
      </c>
      <c r="B28" s="2" t="s">
        <v>7</v>
      </c>
      <c r="C28" s="2">
        <v>108843</v>
      </c>
      <c r="D28" s="2">
        <v>152</v>
      </c>
      <c r="E28" s="2">
        <v>90</v>
      </c>
      <c r="F28" s="2">
        <v>91</v>
      </c>
      <c r="G28" s="2">
        <v>1709840900</v>
      </c>
      <c r="H28" s="2">
        <v>609891.11</v>
      </c>
      <c r="I28" s="2" t="s">
        <v>39</v>
      </c>
    </row>
    <row r="29" spans="1:9">
      <c r="A29" s="3">
        <v>45689</v>
      </c>
      <c r="B29" s="2" t="s">
        <v>9</v>
      </c>
      <c r="C29" s="2">
        <v>325</v>
      </c>
      <c r="D29" s="2">
        <v>10</v>
      </c>
      <c r="E29" s="2">
        <v>4</v>
      </c>
      <c r="F29" s="2">
        <v>4</v>
      </c>
      <c r="G29" s="2">
        <v>2631970</v>
      </c>
      <c r="H29" s="2">
        <v>13400</v>
      </c>
      <c r="I29" s="2" t="s">
        <v>42</v>
      </c>
    </row>
    <row r="30" spans="1:9">
      <c r="A30" s="3">
        <v>45870</v>
      </c>
      <c r="B30" s="2" t="s">
        <v>8</v>
      </c>
      <c r="C30" s="2">
        <v>13449</v>
      </c>
      <c r="D30" s="2">
        <v>1331</v>
      </c>
      <c r="E30" s="2">
        <v>1030</v>
      </c>
      <c r="F30" s="2">
        <v>1015</v>
      </c>
      <c r="G30" s="2">
        <v>99792365</v>
      </c>
      <c r="H30" s="2">
        <v>6458263.88</v>
      </c>
      <c r="I30" s="2" t="s">
        <v>38</v>
      </c>
    </row>
    <row r="31" spans="1:9">
      <c r="A31" s="3">
        <v>45870</v>
      </c>
      <c r="B31" s="2" t="s">
        <v>42</v>
      </c>
      <c r="C31" s="2">
        <v>5095</v>
      </c>
      <c r="D31" s="2">
        <v>31</v>
      </c>
      <c r="E31" s="2">
        <v>20</v>
      </c>
      <c r="F31" s="2">
        <v>20</v>
      </c>
      <c r="G31" s="2">
        <v>64838945</v>
      </c>
      <c r="H31" s="2">
        <v>189894.44</v>
      </c>
      <c r="I31" s="2" t="s">
        <v>40</v>
      </c>
    </row>
    <row r="32" spans="1:9">
      <c r="A32" s="3">
        <v>46054</v>
      </c>
      <c r="B32" s="2" t="s">
        <v>7</v>
      </c>
      <c r="C32" s="2">
        <v>6195</v>
      </c>
      <c r="D32" s="2">
        <v>12</v>
      </c>
      <c r="E32" s="2">
        <v>3</v>
      </c>
      <c r="F32" s="2">
        <v>3</v>
      </c>
      <c r="G32" s="2">
        <v>80317130</v>
      </c>
      <c r="H32" s="2">
        <v>107300</v>
      </c>
      <c r="I32" s="2" t="s">
        <v>42</v>
      </c>
    </row>
    <row r="33" spans="1:9">
      <c r="A33" s="3">
        <v>45870</v>
      </c>
      <c r="B33" s="2" t="s">
        <v>7</v>
      </c>
      <c r="C33" s="2">
        <v>5852</v>
      </c>
      <c r="D33" s="2">
        <v>41</v>
      </c>
      <c r="E33" s="2">
        <v>23</v>
      </c>
      <c r="F33" s="2">
        <v>22</v>
      </c>
      <c r="G33" s="2">
        <v>74522450</v>
      </c>
      <c r="H33" s="2">
        <v>233715.98</v>
      </c>
      <c r="I33" s="2" t="s">
        <v>42</v>
      </c>
    </row>
    <row r="34" spans="1:9">
      <c r="A34" s="3">
        <v>46023</v>
      </c>
      <c r="B34" s="2" t="s">
        <v>9</v>
      </c>
      <c r="C34" s="2">
        <v>9781</v>
      </c>
      <c r="D34" s="2">
        <v>121</v>
      </c>
      <c r="E34" s="2">
        <v>77</v>
      </c>
      <c r="F34" s="2">
        <v>73</v>
      </c>
      <c r="G34" s="2">
        <v>82019595</v>
      </c>
      <c r="H34" s="2">
        <v>817500</v>
      </c>
      <c r="I34" s="2" t="s">
        <v>43</v>
      </c>
    </row>
    <row r="35" spans="1:9">
      <c r="A35" s="3">
        <v>45870</v>
      </c>
      <c r="B35" s="2" t="s">
        <v>10</v>
      </c>
      <c r="C35" s="2">
        <v>8</v>
      </c>
      <c r="D35" s="2">
        <v>3</v>
      </c>
      <c r="E35" s="2">
        <v>1</v>
      </c>
      <c r="F35" s="2">
        <v>1</v>
      </c>
      <c r="G35" s="2">
        <v>84400</v>
      </c>
      <c r="H35" s="2">
        <v>1500</v>
      </c>
      <c r="I35" s="2" t="s">
        <v>42</v>
      </c>
    </row>
    <row r="36" spans="1:9">
      <c r="A36" s="3">
        <v>46023</v>
      </c>
      <c r="B36" s="2" t="s">
        <v>7</v>
      </c>
      <c r="C36" s="2">
        <v>264588</v>
      </c>
      <c r="D36" s="2">
        <v>844</v>
      </c>
      <c r="E36" s="2">
        <v>508</v>
      </c>
      <c r="F36" s="2">
        <v>505</v>
      </c>
      <c r="G36" s="2">
        <v>3295138246</v>
      </c>
      <c r="H36" s="2">
        <v>5720300</v>
      </c>
      <c r="I36" s="2" t="s">
        <v>40</v>
      </c>
    </row>
    <row r="37" spans="1:9">
      <c r="A37" s="3">
        <v>45717</v>
      </c>
      <c r="B37" s="2" t="s">
        <v>10</v>
      </c>
      <c r="C37" s="2">
        <v>202104</v>
      </c>
      <c r="D37" s="2">
        <v>14635</v>
      </c>
      <c r="E37" s="2">
        <v>5797</v>
      </c>
      <c r="F37" s="2">
        <v>5779</v>
      </c>
      <c r="G37" s="2">
        <v>1454651724</v>
      </c>
      <c r="H37" s="2">
        <v>31104786.87</v>
      </c>
      <c r="I37" s="2" t="s">
        <v>44</v>
      </c>
    </row>
    <row r="38" spans="1:9">
      <c r="A38" s="3">
        <v>45931</v>
      </c>
      <c r="B38" s="2" t="s">
        <v>8</v>
      </c>
      <c r="C38" s="2">
        <v>10775</v>
      </c>
      <c r="D38" s="2">
        <v>1317</v>
      </c>
      <c r="E38" s="2">
        <v>1009</v>
      </c>
      <c r="F38" s="2">
        <v>993</v>
      </c>
      <c r="G38" s="2">
        <v>71020255</v>
      </c>
      <c r="H38" s="2">
        <v>5878200</v>
      </c>
      <c r="I38" s="2" t="s">
        <v>40</v>
      </c>
    </row>
    <row r="39" spans="1:9">
      <c r="A39" s="3">
        <v>45870</v>
      </c>
      <c r="B39" s="2" t="s">
        <v>9</v>
      </c>
      <c r="C39" s="2">
        <v>2937</v>
      </c>
      <c r="D39" s="2">
        <v>47</v>
      </c>
      <c r="E39" s="2">
        <v>29</v>
      </c>
      <c r="F39" s="2">
        <v>29</v>
      </c>
      <c r="G39" s="2">
        <v>23301450</v>
      </c>
      <c r="H39" s="2">
        <v>324726.07</v>
      </c>
      <c r="I39" s="2" t="s">
        <v>41</v>
      </c>
    </row>
    <row r="40" spans="1:9">
      <c r="A40" s="3">
        <v>45962</v>
      </c>
      <c r="B40" s="2" t="s">
        <v>5</v>
      </c>
      <c r="C40" s="2">
        <v>6364</v>
      </c>
      <c r="D40" s="2">
        <v>3382</v>
      </c>
      <c r="E40" s="2">
        <v>3137</v>
      </c>
      <c r="F40" s="2">
        <v>3124</v>
      </c>
      <c r="G40" s="2">
        <v>96997300</v>
      </c>
      <c r="H40" s="2">
        <v>35831600</v>
      </c>
      <c r="I40" s="2" t="s">
        <v>40</v>
      </c>
    </row>
    <row r="41" spans="1:9">
      <c r="A41" s="3">
        <v>45931</v>
      </c>
      <c r="B41" s="2" t="s">
        <v>9</v>
      </c>
      <c r="C41" s="2">
        <v>6052</v>
      </c>
      <c r="D41" s="2">
        <v>145</v>
      </c>
      <c r="E41" s="2">
        <v>80</v>
      </c>
      <c r="F41" s="2">
        <v>79</v>
      </c>
      <c r="G41" s="2">
        <v>54079945</v>
      </c>
      <c r="H41" s="2">
        <v>856800</v>
      </c>
      <c r="I41" s="2" t="s">
        <v>35</v>
      </c>
    </row>
    <row r="42" spans="1:9">
      <c r="A42" s="3">
        <v>45778</v>
      </c>
      <c r="B42" s="2" t="s">
        <v>9</v>
      </c>
      <c r="C42" s="2">
        <v>1283</v>
      </c>
      <c r="D42" s="2">
        <v>46</v>
      </c>
      <c r="E42" s="2">
        <v>23</v>
      </c>
      <c r="F42" s="2">
        <v>22</v>
      </c>
      <c r="G42" s="2">
        <v>11001745</v>
      </c>
      <c r="H42" s="2">
        <v>161300</v>
      </c>
      <c r="I42" s="2" t="s">
        <v>36</v>
      </c>
    </row>
    <row r="43" spans="1:9">
      <c r="A43" s="3">
        <v>45717</v>
      </c>
      <c r="B43" s="2" t="s">
        <v>6</v>
      </c>
      <c r="C43" s="2">
        <v>785</v>
      </c>
      <c r="D43" s="2">
        <v>323</v>
      </c>
      <c r="E43" s="2">
        <v>292</v>
      </c>
      <c r="F43" s="2">
        <v>290</v>
      </c>
      <c r="G43" s="2">
        <v>17580985</v>
      </c>
      <c r="H43" s="2">
        <v>4404431.39</v>
      </c>
      <c r="I43" s="2" t="s">
        <v>36</v>
      </c>
    </row>
    <row r="44" spans="1:9">
      <c r="A44" s="3">
        <v>45658</v>
      </c>
      <c r="B44" s="2" t="s">
        <v>7</v>
      </c>
      <c r="C44" s="2">
        <v>165305</v>
      </c>
      <c r="D44" s="2">
        <v>989</v>
      </c>
      <c r="E44" s="2">
        <v>343</v>
      </c>
      <c r="F44" s="2">
        <v>348</v>
      </c>
      <c r="G44" s="2">
        <v>3194903709</v>
      </c>
      <c r="H44" s="2">
        <v>5684824.89</v>
      </c>
      <c r="I44" s="2" t="s">
        <v>36</v>
      </c>
    </row>
    <row r="45" spans="1:9">
      <c r="A45" s="3">
        <v>45870</v>
      </c>
      <c r="B45" s="2" t="s">
        <v>9</v>
      </c>
      <c r="C45" s="2">
        <v>13123</v>
      </c>
      <c r="D45" s="2">
        <v>332</v>
      </c>
      <c r="E45" s="2">
        <v>212</v>
      </c>
      <c r="F45" s="2">
        <v>211</v>
      </c>
      <c r="G45" s="2">
        <v>94982735</v>
      </c>
      <c r="H45" s="2">
        <v>1389420.26</v>
      </c>
      <c r="I45" s="2" t="s">
        <v>37</v>
      </c>
    </row>
    <row r="46" spans="1:9">
      <c r="A46" s="3">
        <v>46054</v>
      </c>
      <c r="B46" s="2" t="s">
        <v>8</v>
      </c>
      <c r="C46" s="2">
        <v>9030</v>
      </c>
      <c r="D46" s="2">
        <v>285</v>
      </c>
      <c r="E46" s="2">
        <v>151</v>
      </c>
      <c r="F46" s="2">
        <v>151</v>
      </c>
      <c r="G46" s="2">
        <v>75014950</v>
      </c>
      <c r="H46" s="2">
        <v>711300</v>
      </c>
      <c r="I46" s="2" t="s">
        <v>36</v>
      </c>
    </row>
    <row r="47" spans="1:9">
      <c r="A47" s="3">
        <v>45689</v>
      </c>
      <c r="B47" s="2" t="s">
        <v>8</v>
      </c>
      <c r="C47" s="2">
        <v>8722</v>
      </c>
      <c r="D47" s="2">
        <v>1446</v>
      </c>
      <c r="E47" s="2">
        <v>1186</v>
      </c>
      <c r="F47" s="2">
        <v>1173</v>
      </c>
      <c r="G47" s="2">
        <v>54979780</v>
      </c>
      <c r="H47" s="2">
        <v>7226655.84</v>
      </c>
      <c r="I47" s="2" t="s">
        <v>38</v>
      </c>
    </row>
    <row r="48" spans="1:9">
      <c r="A48" s="3">
        <v>46082</v>
      </c>
      <c r="B48" s="2" t="s">
        <v>8</v>
      </c>
      <c r="C48" s="2">
        <v>5722</v>
      </c>
      <c r="D48" s="2">
        <v>26</v>
      </c>
      <c r="E48" s="2">
        <v>17</v>
      </c>
      <c r="F48" s="2">
        <v>18</v>
      </c>
      <c r="G48" s="2">
        <v>47621345</v>
      </c>
      <c r="H48" s="2">
        <v>98900</v>
      </c>
      <c r="I48" s="2" t="s">
        <v>41</v>
      </c>
    </row>
    <row r="49" spans="1:9">
      <c r="A49" s="3">
        <v>45962</v>
      </c>
      <c r="B49" s="2" t="s">
        <v>42</v>
      </c>
      <c r="C49" s="2">
        <v>4190</v>
      </c>
      <c r="D49" s="2">
        <v>12</v>
      </c>
      <c r="E49" s="2">
        <v>9</v>
      </c>
      <c r="F49" s="2">
        <v>9</v>
      </c>
      <c r="G49" s="2">
        <v>71627205</v>
      </c>
      <c r="H49" s="2">
        <v>122500</v>
      </c>
      <c r="I49" s="2" t="s">
        <v>42</v>
      </c>
    </row>
    <row r="50" spans="1:9">
      <c r="A50" s="3">
        <v>46054</v>
      </c>
      <c r="B50" s="2" t="s">
        <v>8</v>
      </c>
      <c r="C50" s="2">
        <v>80038</v>
      </c>
      <c r="D50" s="2">
        <v>3244</v>
      </c>
      <c r="E50" s="2">
        <v>1616</v>
      </c>
      <c r="F50" s="2">
        <v>1601</v>
      </c>
      <c r="G50" s="2">
        <v>592273205</v>
      </c>
      <c r="H50" s="2">
        <v>8006800</v>
      </c>
      <c r="I50" s="2" t="s">
        <v>37</v>
      </c>
    </row>
    <row r="51" spans="1:9">
      <c r="A51" s="3">
        <v>46054</v>
      </c>
      <c r="B51" s="2" t="s">
        <v>8</v>
      </c>
      <c r="C51" s="2">
        <v>3402</v>
      </c>
      <c r="D51" s="2">
        <v>93</v>
      </c>
      <c r="E51" s="2">
        <v>45</v>
      </c>
      <c r="F51" s="2">
        <v>44</v>
      </c>
      <c r="G51" s="2">
        <v>28071015</v>
      </c>
      <c r="H51" s="2">
        <v>240200</v>
      </c>
      <c r="I51" s="2" t="s">
        <v>39</v>
      </c>
    </row>
    <row r="52" spans="1:9">
      <c r="A52" s="3">
        <v>46054</v>
      </c>
      <c r="B52" s="2" t="s">
        <v>9</v>
      </c>
      <c r="C52" s="2">
        <v>1012</v>
      </c>
      <c r="D52" s="2">
        <v>0</v>
      </c>
      <c r="E52" s="2" t="s">
        <v>45</v>
      </c>
      <c r="F52" s="2">
        <v>0</v>
      </c>
      <c r="G52" s="2">
        <v>7471300</v>
      </c>
      <c r="H52" s="2" t="s">
        <v>45</v>
      </c>
      <c r="I52" s="2" t="s">
        <v>39</v>
      </c>
    </row>
    <row r="53" spans="1:9">
      <c r="A53" s="3">
        <v>45870</v>
      </c>
      <c r="B53" s="2" t="s">
        <v>8</v>
      </c>
      <c r="C53" s="2">
        <v>43410</v>
      </c>
      <c r="D53" s="2">
        <v>3254</v>
      </c>
      <c r="E53" s="2">
        <v>2529</v>
      </c>
      <c r="F53" s="2">
        <v>2498</v>
      </c>
      <c r="G53" s="2">
        <v>379547280</v>
      </c>
      <c r="H53" s="2">
        <v>17833219.19</v>
      </c>
      <c r="I53" s="2" t="s">
        <v>43</v>
      </c>
    </row>
    <row r="54" spans="1:9">
      <c r="A54" s="3">
        <v>45870</v>
      </c>
      <c r="B54" s="2" t="s">
        <v>5</v>
      </c>
      <c r="C54" s="2">
        <v>13789</v>
      </c>
      <c r="D54" s="2">
        <v>7634</v>
      </c>
      <c r="E54" s="2">
        <v>7188</v>
      </c>
      <c r="F54" s="2">
        <v>7098</v>
      </c>
      <c r="G54" s="2">
        <v>270010325</v>
      </c>
      <c r="H54" s="2">
        <v>96636780</v>
      </c>
      <c r="I54" s="2" t="s">
        <v>37</v>
      </c>
    </row>
    <row r="55" spans="1:9">
      <c r="A55" s="3">
        <v>45992</v>
      </c>
      <c r="B55" s="2" t="s">
        <v>5</v>
      </c>
      <c r="C55" s="2">
        <v>9542</v>
      </c>
      <c r="D55" s="2">
        <v>3937</v>
      </c>
      <c r="E55" s="2">
        <v>3746</v>
      </c>
      <c r="F55" s="2">
        <v>3713</v>
      </c>
      <c r="G55" s="2">
        <v>246990600</v>
      </c>
      <c r="H55" s="2">
        <v>78198200</v>
      </c>
      <c r="I55" s="2" t="s">
        <v>35</v>
      </c>
    </row>
    <row r="56" spans="1:9">
      <c r="A56" s="3">
        <v>45689</v>
      </c>
      <c r="B56" s="2" t="s">
        <v>6</v>
      </c>
      <c r="C56" s="2">
        <v>811</v>
      </c>
      <c r="D56" s="2">
        <v>478</v>
      </c>
      <c r="E56" s="2">
        <v>409</v>
      </c>
      <c r="F56" s="2">
        <v>407</v>
      </c>
      <c r="G56" s="2">
        <v>12605885</v>
      </c>
      <c r="H56" s="2">
        <v>5009149.39</v>
      </c>
      <c r="I56" s="2" t="s">
        <v>40</v>
      </c>
    </row>
    <row r="57" spans="1:9">
      <c r="A57" s="3">
        <v>45689</v>
      </c>
      <c r="B57" s="2" t="s">
        <v>7</v>
      </c>
      <c r="C57" s="2">
        <v>388255</v>
      </c>
      <c r="D57" s="2">
        <v>2603</v>
      </c>
      <c r="E57" s="2">
        <v>1530</v>
      </c>
      <c r="F57" s="2">
        <v>1516</v>
      </c>
      <c r="G57" s="2">
        <v>8116734033</v>
      </c>
      <c r="H57" s="2">
        <v>25653239.41</v>
      </c>
      <c r="I57" s="2" t="s">
        <v>41</v>
      </c>
    </row>
    <row r="58" spans="1:9">
      <c r="A58" s="3">
        <v>46082</v>
      </c>
      <c r="B58" s="2" t="s">
        <v>6</v>
      </c>
      <c r="C58" s="2">
        <v>306</v>
      </c>
      <c r="D58" s="2">
        <v>110</v>
      </c>
      <c r="E58" s="2">
        <v>107</v>
      </c>
      <c r="F58" s="2">
        <v>106</v>
      </c>
      <c r="G58" s="2">
        <v>4404300</v>
      </c>
      <c r="H58" s="2">
        <v>1462900</v>
      </c>
      <c r="I58" s="2" t="s">
        <v>43</v>
      </c>
    </row>
    <row r="59" spans="1:9">
      <c r="A59" s="3">
        <v>46023</v>
      </c>
      <c r="B59" s="2" t="s">
        <v>6</v>
      </c>
      <c r="C59" s="2">
        <v>41</v>
      </c>
      <c r="D59" s="2">
        <v>25</v>
      </c>
      <c r="E59" s="2">
        <v>24</v>
      </c>
      <c r="F59" s="2">
        <v>24</v>
      </c>
      <c r="G59" s="2">
        <v>537500</v>
      </c>
      <c r="H59" s="2">
        <v>199800</v>
      </c>
      <c r="I59" s="2" t="s">
        <v>39</v>
      </c>
    </row>
    <row r="60" spans="1:9">
      <c r="A60" s="3">
        <v>45870</v>
      </c>
      <c r="B60" s="2" t="s">
        <v>8</v>
      </c>
      <c r="C60" s="2">
        <v>4681</v>
      </c>
      <c r="D60" s="2">
        <v>467</v>
      </c>
      <c r="E60" s="2">
        <v>368</v>
      </c>
      <c r="F60" s="2">
        <v>359</v>
      </c>
      <c r="G60" s="2">
        <v>40279170</v>
      </c>
      <c r="H60" s="2">
        <v>2915033.15</v>
      </c>
      <c r="I60" s="2" t="s">
        <v>41</v>
      </c>
    </row>
    <row r="61" spans="1:9">
      <c r="A61" s="3">
        <v>45901</v>
      </c>
      <c r="B61" s="2" t="s">
        <v>6</v>
      </c>
      <c r="C61" s="2">
        <v>8636</v>
      </c>
      <c r="D61" s="2">
        <v>4048</v>
      </c>
      <c r="E61" s="2">
        <v>3693</v>
      </c>
      <c r="F61" s="2">
        <v>3654</v>
      </c>
      <c r="G61" s="2">
        <v>248601800</v>
      </c>
      <c r="H61" s="2">
        <v>74300813.5</v>
      </c>
      <c r="I61" s="2" t="s">
        <v>41</v>
      </c>
    </row>
    <row r="62" spans="1:9">
      <c r="A62" s="3">
        <v>45689</v>
      </c>
      <c r="B62" s="2" t="s">
        <v>5</v>
      </c>
      <c r="C62" s="2">
        <v>541</v>
      </c>
      <c r="D62" s="2">
        <v>313</v>
      </c>
      <c r="E62" s="2">
        <v>280</v>
      </c>
      <c r="F62" s="2">
        <v>275</v>
      </c>
      <c r="G62" s="2">
        <v>9458940</v>
      </c>
      <c r="H62" s="2">
        <v>3725440</v>
      </c>
      <c r="I62" s="2" t="s">
        <v>36</v>
      </c>
    </row>
    <row r="63" spans="1:9">
      <c r="A63" s="3">
        <v>45717</v>
      </c>
      <c r="B63" s="2" t="s">
        <v>7</v>
      </c>
      <c r="C63" s="2">
        <v>166381</v>
      </c>
      <c r="D63" s="2">
        <v>710</v>
      </c>
      <c r="E63" s="2">
        <v>292</v>
      </c>
      <c r="F63" s="2">
        <v>292</v>
      </c>
      <c r="G63" s="2">
        <v>3216686174</v>
      </c>
      <c r="H63" s="2">
        <v>3570343.07</v>
      </c>
      <c r="I63" s="2" t="s">
        <v>36</v>
      </c>
    </row>
    <row r="64" spans="1:9">
      <c r="A64" s="3">
        <v>45870</v>
      </c>
      <c r="B64" s="2" t="s">
        <v>5</v>
      </c>
      <c r="C64" s="2">
        <v>354</v>
      </c>
      <c r="D64" s="2">
        <v>156</v>
      </c>
      <c r="E64" s="2">
        <v>138</v>
      </c>
      <c r="F64" s="2">
        <v>131</v>
      </c>
      <c r="G64" s="2">
        <v>5842085</v>
      </c>
      <c r="H64" s="2">
        <v>1357845</v>
      </c>
      <c r="I64" s="2" t="s">
        <v>39</v>
      </c>
    </row>
    <row r="65" spans="1:9">
      <c r="A65" s="3">
        <v>45658</v>
      </c>
      <c r="B65" s="2" t="s">
        <v>9</v>
      </c>
      <c r="C65" s="2">
        <v>3227</v>
      </c>
      <c r="D65" s="2">
        <v>98</v>
      </c>
      <c r="E65" s="2">
        <v>39</v>
      </c>
      <c r="F65" s="2">
        <v>41</v>
      </c>
      <c r="G65" s="2">
        <v>23455611</v>
      </c>
      <c r="H65" s="2">
        <v>273100</v>
      </c>
      <c r="I65" s="2" t="s">
        <v>40</v>
      </c>
    </row>
    <row r="66" spans="1:9">
      <c r="A66" s="3">
        <v>45658</v>
      </c>
      <c r="B66" s="2" t="s">
        <v>7</v>
      </c>
      <c r="C66" s="2">
        <v>578997</v>
      </c>
      <c r="D66" s="2">
        <v>5141</v>
      </c>
      <c r="E66" s="2">
        <v>2626</v>
      </c>
      <c r="F66" s="2">
        <v>2685</v>
      </c>
      <c r="G66" s="2">
        <v>13017337163</v>
      </c>
      <c r="H66" s="2">
        <v>50140936.26</v>
      </c>
      <c r="I66" s="2" t="s">
        <v>35</v>
      </c>
    </row>
    <row r="67" spans="1:9">
      <c r="A67" s="3">
        <v>46054</v>
      </c>
      <c r="B67" s="2" t="s">
        <v>6</v>
      </c>
      <c r="C67" s="2">
        <v>12</v>
      </c>
      <c r="D67" s="2">
        <v>7</v>
      </c>
      <c r="E67" s="2">
        <v>6</v>
      </c>
      <c r="F67" s="2">
        <v>6</v>
      </c>
      <c r="G67" s="2">
        <v>113400</v>
      </c>
      <c r="H67" s="2">
        <v>30500</v>
      </c>
      <c r="I67" s="2" t="s">
        <v>39</v>
      </c>
    </row>
    <row r="68" spans="1:9">
      <c r="A68" s="3">
        <v>45658</v>
      </c>
      <c r="B68" s="2" t="s">
        <v>7</v>
      </c>
      <c r="C68" s="2">
        <v>106359</v>
      </c>
      <c r="D68" s="2">
        <v>267</v>
      </c>
      <c r="E68" s="2">
        <v>100</v>
      </c>
      <c r="F68" s="2">
        <v>96</v>
      </c>
      <c r="G68" s="2">
        <v>1666045150</v>
      </c>
      <c r="H68" s="2">
        <v>728808.15</v>
      </c>
      <c r="I68" s="2" t="s">
        <v>39</v>
      </c>
    </row>
    <row r="69" spans="1:9">
      <c r="A69" s="3">
        <v>46082</v>
      </c>
      <c r="B69" s="2" t="s">
        <v>6</v>
      </c>
      <c r="C69" s="2">
        <v>32</v>
      </c>
      <c r="D69" s="2">
        <v>9</v>
      </c>
      <c r="E69" s="2">
        <v>9</v>
      </c>
      <c r="F69" s="2">
        <v>9</v>
      </c>
      <c r="G69" s="2">
        <v>438300</v>
      </c>
      <c r="H69" s="2">
        <v>89900</v>
      </c>
      <c r="I69" s="2" t="s">
        <v>36</v>
      </c>
    </row>
    <row r="70" spans="1:9">
      <c r="A70" s="3">
        <v>45962</v>
      </c>
      <c r="B70" s="2" t="s">
        <v>8</v>
      </c>
      <c r="C70" s="2">
        <v>9243</v>
      </c>
      <c r="D70" s="2">
        <v>981</v>
      </c>
      <c r="E70" s="2">
        <v>832</v>
      </c>
      <c r="F70" s="2">
        <v>822</v>
      </c>
      <c r="G70" s="2">
        <v>78684810</v>
      </c>
      <c r="H70" s="2">
        <v>5405700</v>
      </c>
      <c r="I70" s="2" t="s">
        <v>36</v>
      </c>
    </row>
    <row r="71" spans="1:9">
      <c r="A71" s="3">
        <v>45931</v>
      </c>
      <c r="B71" s="2" t="s">
        <v>8</v>
      </c>
      <c r="C71" s="2">
        <v>3102</v>
      </c>
      <c r="D71" s="2">
        <v>337</v>
      </c>
      <c r="E71" s="2">
        <v>251</v>
      </c>
      <c r="F71" s="2">
        <v>250</v>
      </c>
      <c r="G71" s="2">
        <v>23742325</v>
      </c>
      <c r="H71" s="2">
        <v>1573500</v>
      </c>
      <c r="I71" s="2" t="s">
        <v>42</v>
      </c>
    </row>
    <row r="72" spans="1:9">
      <c r="A72" s="3">
        <v>45658</v>
      </c>
      <c r="B72" s="2" t="s">
        <v>9</v>
      </c>
      <c r="C72" s="2">
        <v>916</v>
      </c>
      <c r="D72" s="2">
        <v>16</v>
      </c>
      <c r="E72" s="2">
        <v>6</v>
      </c>
      <c r="F72" s="2">
        <v>7</v>
      </c>
      <c r="G72" s="2">
        <v>6651200</v>
      </c>
      <c r="H72" s="2">
        <v>22800</v>
      </c>
      <c r="I72" s="2" t="s">
        <v>39</v>
      </c>
    </row>
    <row r="73" spans="1:9">
      <c r="A73" s="3">
        <v>46082</v>
      </c>
      <c r="B73" s="2" t="s">
        <v>7</v>
      </c>
      <c r="C73" s="2">
        <v>761606</v>
      </c>
      <c r="D73" s="2">
        <v>184</v>
      </c>
      <c r="E73" s="2">
        <v>139</v>
      </c>
      <c r="F73" s="2">
        <v>141</v>
      </c>
      <c r="G73" s="2">
        <v>18453920541</v>
      </c>
      <c r="H73" s="2">
        <v>2225200</v>
      </c>
      <c r="I73" s="2" t="s">
        <v>35</v>
      </c>
    </row>
    <row r="74" spans="1:9">
      <c r="A74" s="3">
        <v>45658</v>
      </c>
      <c r="B74" s="2" t="s">
        <v>5</v>
      </c>
      <c r="C74" s="2">
        <v>34311</v>
      </c>
      <c r="D74" s="2">
        <v>16713</v>
      </c>
      <c r="E74" s="2">
        <v>15572</v>
      </c>
      <c r="F74" s="2">
        <v>15381</v>
      </c>
      <c r="G74" s="2">
        <v>883215955</v>
      </c>
      <c r="H74" s="2">
        <v>305636667.98</v>
      </c>
      <c r="I74" s="2" t="s">
        <v>35</v>
      </c>
    </row>
    <row r="75" spans="1:9">
      <c r="A75" s="3">
        <v>45931</v>
      </c>
      <c r="B75" s="2" t="s">
        <v>5</v>
      </c>
      <c r="C75" s="2">
        <v>16282</v>
      </c>
      <c r="D75" s="2">
        <v>7102</v>
      </c>
      <c r="E75" s="2">
        <v>6864</v>
      </c>
      <c r="F75" s="2">
        <v>6830</v>
      </c>
      <c r="G75" s="2">
        <v>590894300</v>
      </c>
      <c r="H75" s="2">
        <v>162445600</v>
      </c>
      <c r="I75" s="2" t="s">
        <v>41</v>
      </c>
    </row>
    <row r="76" spans="1:9">
      <c r="A76" s="3">
        <v>45839</v>
      </c>
      <c r="B76" s="2" t="s">
        <v>42</v>
      </c>
      <c r="C76" s="2">
        <v>4191</v>
      </c>
      <c r="D76" s="2">
        <v>39</v>
      </c>
      <c r="E76" s="2">
        <v>30</v>
      </c>
      <c r="F76" s="2">
        <v>30</v>
      </c>
      <c r="G76" s="2">
        <v>71701915</v>
      </c>
      <c r="H76" s="2">
        <v>443230</v>
      </c>
      <c r="I76" s="2" t="s">
        <v>42</v>
      </c>
    </row>
    <row r="77" spans="1:9">
      <c r="A77" s="3">
        <v>46023</v>
      </c>
      <c r="B77" s="2" t="s">
        <v>8</v>
      </c>
      <c r="C77" s="2">
        <v>49501</v>
      </c>
      <c r="D77" s="2">
        <v>1796</v>
      </c>
      <c r="E77" s="2">
        <v>1211</v>
      </c>
      <c r="F77" s="2">
        <v>1187</v>
      </c>
      <c r="G77" s="2">
        <v>429680390</v>
      </c>
      <c r="H77" s="2">
        <v>6856800</v>
      </c>
      <c r="I77" s="2" t="s">
        <v>43</v>
      </c>
    </row>
    <row r="78" spans="1:9">
      <c r="A78" s="3">
        <v>46023</v>
      </c>
      <c r="B78" s="2" t="s">
        <v>7</v>
      </c>
      <c r="C78" s="2">
        <v>795085</v>
      </c>
      <c r="D78" s="2">
        <v>2797</v>
      </c>
      <c r="E78" s="2">
        <v>1597</v>
      </c>
      <c r="F78" s="2">
        <v>1607</v>
      </c>
      <c r="G78" s="2">
        <v>11815463429</v>
      </c>
      <c r="H78" s="2">
        <v>18568600</v>
      </c>
      <c r="I78" s="2" t="s">
        <v>37</v>
      </c>
    </row>
    <row r="79" spans="1:9">
      <c r="A79" s="3">
        <v>45809</v>
      </c>
      <c r="B79" s="2" t="s">
        <v>7</v>
      </c>
      <c r="C79" s="2">
        <v>654995</v>
      </c>
      <c r="D79" s="2">
        <v>3838</v>
      </c>
      <c r="E79" s="2">
        <v>2072</v>
      </c>
      <c r="F79" s="2">
        <v>2048</v>
      </c>
      <c r="G79" s="2">
        <v>12017621084</v>
      </c>
      <c r="H79" s="2">
        <v>27888155.13</v>
      </c>
      <c r="I79" s="2" t="s">
        <v>43</v>
      </c>
    </row>
    <row r="80" spans="1:9">
      <c r="A80" s="3">
        <v>45778</v>
      </c>
      <c r="B80" s="2" t="s">
        <v>8</v>
      </c>
      <c r="C80" s="2">
        <v>2529</v>
      </c>
      <c r="D80" s="2">
        <v>356</v>
      </c>
      <c r="E80" s="2">
        <v>279</v>
      </c>
      <c r="F80" s="2">
        <v>277</v>
      </c>
      <c r="G80" s="2">
        <v>18825385</v>
      </c>
      <c r="H80" s="2">
        <v>1912978.13</v>
      </c>
      <c r="I80" s="2" t="s">
        <v>42</v>
      </c>
    </row>
    <row r="81" spans="1:9">
      <c r="A81" s="3">
        <v>46054</v>
      </c>
      <c r="B81" s="2" t="s">
        <v>8</v>
      </c>
      <c r="C81" s="2">
        <v>7362</v>
      </c>
      <c r="D81" s="2">
        <v>403</v>
      </c>
      <c r="E81" s="2">
        <v>56</v>
      </c>
      <c r="F81" s="2">
        <v>56</v>
      </c>
      <c r="G81" s="2">
        <v>38655350</v>
      </c>
      <c r="H81" s="2">
        <v>440600</v>
      </c>
      <c r="I81" s="2" t="s">
        <v>44</v>
      </c>
    </row>
    <row r="82" spans="1:9">
      <c r="A82" s="3">
        <v>45870</v>
      </c>
      <c r="B82" s="2" t="s">
        <v>6</v>
      </c>
      <c r="C82" s="2">
        <v>100</v>
      </c>
      <c r="D82" s="2">
        <v>44</v>
      </c>
      <c r="E82" s="2">
        <v>40</v>
      </c>
      <c r="F82" s="2">
        <v>39</v>
      </c>
      <c r="G82" s="2">
        <v>1770560</v>
      </c>
      <c r="H82" s="2">
        <v>275654.38</v>
      </c>
      <c r="I82" s="2" t="s">
        <v>39</v>
      </c>
    </row>
    <row r="83" spans="1:9">
      <c r="A83" s="3">
        <v>46082</v>
      </c>
      <c r="B83" s="2" t="s">
        <v>9</v>
      </c>
      <c r="C83" s="2">
        <v>9699</v>
      </c>
      <c r="D83" s="2">
        <v>2</v>
      </c>
      <c r="E83" s="2">
        <v>1</v>
      </c>
      <c r="F83" s="2">
        <v>1</v>
      </c>
      <c r="G83" s="2">
        <v>81073510</v>
      </c>
      <c r="H83" s="2">
        <v>23400</v>
      </c>
      <c r="I83" s="2" t="s">
        <v>43</v>
      </c>
    </row>
    <row r="84" spans="1:9">
      <c r="A84" s="3">
        <v>45778</v>
      </c>
      <c r="B84" s="2" t="s">
        <v>42</v>
      </c>
      <c r="C84" s="2">
        <v>4164</v>
      </c>
      <c r="D84" s="2">
        <v>48</v>
      </c>
      <c r="E84" s="2">
        <v>39</v>
      </c>
      <c r="F84" s="2">
        <v>39</v>
      </c>
      <c r="G84" s="2">
        <v>70625115</v>
      </c>
      <c r="H84" s="2">
        <v>570900</v>
      </c>
      <c r="I84" s="2" t="s">
        <v>42</v>
      </c>
    </row>
    <row r="85" spans="1:9">
      <c r="A85" s="3">
        <v>45778</v>
      </c>
      <c r="B85" s="2" t="s">
        <v>5</v>
      </c>
      <c r="C85" s="2">
        <v>677</v>
      </c>
      <c r="D85" s="2">
        <v>423</v>
      </c>
      <c r="E85" s="2">
        <v>363</v>
      </c>
      <c r="F85" s="2">
        <v>351</v>
      </c>
      <c r="G85" s="2">
        <v>8316820</v>
      </c>
      <c r="H85" s="2">
        <v>2677545</v>
      </c>
      <c r="I85" s="2" t="s">
        <v>39</v>
      </c>
    </row>
    <row r="86" spans="1:9">
      <c r="A86" s="3">
        <v>45839</v>
      </c>
      <c r="B86" s="2" t="s">
        <v>5</v>
      </c>
      <c r="C86" s="2">
        <v>3</v>
      </c>
      <c r="D86" s="2">
        <v>2</v>
      </c>
      <c r="E86" s="2">
        <v>1</v>
      </c>
      <c r="F86" s="2">
        <v>1</v>
      </c>
      <c r="G86" s="2">
        <v>102060</v>
      </c>
      <c r="H86" s="2">
        <v>500</v>
      </c>
      <c r="I86" s="2" t="s">
        <v>42</v>
      </c>
    </row>
    <row r="87" spans="1:9">
      <c r="A87" s="3">
        <v>46054</v>
      </c>
      <c r="B87" s="2" t="s">
        <v>8</v>
      </c>
      <c r="C87" s="2">
        <v>11691</v>
      </c>
      <c r="D87" s="2">
        <v>646</v>
      </c>
      <c r="E87" s="2">
        <v>366</v>
      </c>
      <c r="F87" s="2">
        <v>361</v>
      </c>
      <c r="G87" s="2">
        <v>73941985</v>
      </c>
      <c r="H87" s="2">
        <v>1714400</v>
      </c>
      <c r="I87" s="2" t="s">
        <v>40</v>
      </c>
    </row>
    <row r="88" spans="1:9">
      <c r="A88" s="3">
        <v>45962</v>
      </c>
      <c r="B88" s="2" t="s">
        <v>9</v>
      </c>
      <c r="C88" s="2">
        <v>6066</v>
      </c>
      <c r="D88" s="2">
        <v>109</v>
      </c>
      <c r="E88" s="2">
        <v>63</v>
      </c>
      <c r="F88" s="2">
        <v>61</v>
      </c>
      <c r="G88" s="2">
        <v>54291015</v>
      </c>
      <c r="H88" s="2">
        <v>615900</v>
      </c>
      <c r="I88" s="2" t="s">
        <v>35</v>
      </c>
    </row>
    <row r="89" spans="1:9">
      <c r="A89" s="3">
        <v>45931</v>
      </c>
      <c r="B89" s="2" t="s">
        <v>6</v>
      </c>
      <c r="C89" s="2">
        <v>88</v>
      </c>
      <c r="D89" s="2">
        <v>39</v>
      </c>
      <c r="E89" s="2">
        <v>27</v>
      </c>
      <c r="F89" s="2">
        <v>27</v>
      </c>
      <c r="G89" s="2">
        <v>1228400</v>
      </c>
      <c r="H89" s="2">
        <v>230900</v>
      </c>
      <c r="I89" s="2" t="s">
        <v>39</v>
      </c>
    </row>
    <row r="90" spans="1:9">
      <c r="A90" s="3">
        <v>45748</v>
      </c>
      <c r="B90" s="2" t="s">
        <v>6</v>
      </c>
      <c r="C90" s="2">
        <v>5992</v>
      </c>
      <c r="D90" s="2">
        <v>2821</v>
      </c>
      <c r="E90" s="2">
        <v>2555</v>
      </c>
      <c r="F90" s="2">
        <v>2535</v>
      </c>
      <c r="G90" s="2">
        <v>119351365</v>
      </c>
      <c r="H90" s="2">
        <v>38569044.07</v>
      </c>
      <c r="I90" s="2" t="s">
        <v>43</v>
      </c>
    </row>
    <row r="91" spans="1:9">
      <c r="A91" s="3">
        <v>45992</v>
      </c>
      <c r="B91" s="2" t="s">
        <v>9</v>
      </c>
      <c r="C91" s="2">
        <v>391</v>
      </c>
      <c r="D91" s="2">
        <v>17</v>
      </c>
      <c r="E91" s="2">
        <v>11</v>
      </c>
      <c r="F91" s="2">
        <v>11</v>
      </c>
      <c r="G91" s="2">
        <v>3093565</v>
      </c>
      <c r="H91" s="2">
        <v>113400</v>
      </c>
      <c r="I91" s="2" t="s">
        <v>42</v>
      </c>
    </row>
    <row r="92" spans="1:9">
      <c r="A92" s="3">
        <v>45809</v>
      </c>
      <c r="B92" s="2" t="s">
        <v>9</v>
      </c>
      <c r="C92" s="2">
        <v>1013</v>
      </c>
      <c r="D92" s="2">
        <v>10</v>
      </c>
      <c r="E92" s="2">
        <v>6</v>
      </c>
      <c r="F92" s="2">
        <v>6</v>
      </c>
      <c r="G92" s="2">
        <v>7535870</v>
      </c>
      <c r="H92" s="2">
        <v>86900</v>
      </c>
      <c r="I92" s="2" t="s">
        <v>39</v>
      </c>
    </row>
    <row r="93" spans="1:9">
      <c r="A93" s="3">
        <v>45778</v>
      </c>
      <c r="B93" s="2" t="s">
        <v>9</v>
      </c>
      <c r="C93" s="2">
        <v>12604</v>
      </c>
      <c r="D93" s="2">
        <v>473</v>
      </c>
      <c r="E93" s="2">
        <v>231</v>
      </c>
      <c r="F93" s="2">
        <v>229</v>
      </c>
      <c r="G93" s="2">
        <v>90905775</v>
      </c>
      <c r="H93" s="2">
        <v>1695660</v>
      </c>
      <c r="I93" s="2" t="s">
        <v>37</v>
      </c>
    </row>
    <row r="94" spans="1:9">
      <c r="A94" s="3">
        <v>46054</v>
      </c>
      <c r="B94" s="2" t="s">
        <v>8</v>
      </c>
      <c r="C94" s="2">
        <v>26529</v>
      </c>
      <c r="D94" s="2">
        <v>822</v>
      </c>
      <c r="E94" s="2">
        <v>473</v>
      </c>
      <c r="F94" s="2">
        <v>466</v>
      </c>
      <c r="G94" s="2">
        <v>240657170</v>
      </c>
      <c r="H94" s="2">
        <v>2437300</v>
      </c>
      <c r="I94" s="2" t="s">
        <v>35</v>
      </c>
    </row>
    <row r="95" spans="1:9">
      <c r="A95" s="3">
        <v>45778</v>
      </c>
      <c r="B95" s="2" t="s">
        <v>8</v>
      </c>
      <c r="C95" s="2">
        <v>64149</v>
      </c>
      <c r="D95" s="2">
        <v>9734</v>
      </c>
      <c r="E95" s="2">
        <v>7748</v>
      </c>
      <c r="F95" s="2">
        <v>7654</v>
      </c>
      <c r="G95" s="2">
        <v>481619595</v>
      </c>
      <c r="H95" s="2">
        <v>51116005.21</v>
      </c>
      <c r="I95" s="2" t="s">
        <v>37</v>
      </c>
    </row>
    <row r="96" spans="1:9">
      <c r="A96" s="3">
        <v>45931</v>
      </c>
      <c r="B96" s="2" t="s">
        <v>5</v>
      </c>
      <c r="C96" s="2">
        <v>16571</v>
      </c>
      <c r="D96" s="2">
        <v>7201</v>
      </c>
      <c r="E96" s="2">
        <v>6905</v>
      </c>
      <c r="F96" s="2">
        <v>6777</v>
      </c>
      <c r="G96" s="2">
        <v>514652400</v>
      </c>
      <c r="H96" s="2">
        <v>158484500</v>
      </c>
      <c r="I96" s="2" t="s">
        <v>35</v>
      </c>
    </row>
    <row r="97" spans="1:9">
      <c r="A97" s="3">
        <v>46023</v>
      </c>
      <c r="B97" s="2" t="s">
        <v>5</v>
      </c>
      <c r="C97" s="2">
        <v>9</v>
      </c>
      <c r="D97" s="2">
        <v>3</v>
      </c>
      <c r="E97" s="2">
        <v>2</v>
      </c>
      <c r="F97" s="2">
        <v>2</v>
      </c>
      <c r="G97" s="2">
        <v>60200</v>
      </c>
      <c r="H97" s="2">
        <v>12100</v>
      </c>
      <c r="I97" s="2" t="s">
        <v>39</v>
      </c>
    </row>
    <row r="98" spans="1:9">
      <c r="A98" s="3">
        <v>45931</v>
      </c>
      <c r="B98" s="2" t="s">
        <v>8</v>
      </c>
      <c r="C98" s="2">
        <v>3172</v>
      </c>
      <c r="D98" s="2">
        <v>192</v>
      </c>
      <c r="E98" s="2">
        <v>143</v>
      </c>
      <c r="F98" s="2">
        <v>140</v>
      </c>
      <c r="G98" s="2">
        <v>26035070</v>
      </c>
      <c r="H98" s="2">
        <v>891800</v>
      </c>
      <c r="I98" s="2" t="s">
        <v>39</v>
      </c>
    </row>
    <row r="99" spans="1:9">
      <c r="A99" s="3">
        <v>45748</v>
      </c>
      <c r="B99" s="2" t="s">
        <v>6</v>
      </c>
      <c r="C99" s="2">
        <v>6049</v>
      </c>
      <c r="D99" s="2">
        <v>3008</v>
      </c>
      <c r="E99" s="2">
        <v>2646</v>
      </c>
      <c r="F99" s="2">
        <v>2613</v>
      </c>
      <c r="G99" s="2">
        <v>107178790</v>
      </c>
      <c r="H99" s="2">
        <v>32183677.95</v>
      </c>
      <c r="I99" s="2" t="s">
        <v>37</v>
      </c>
    </row>
    <row r="100" spans="1:9">
      <c r="A100" s="3">
        <v>45839</v>
      </c>
      <c r="B100" s="2" t="s">
        <v>6</v>
      </c>
      <c r="C100" s="2">
        <v>542</v>
      </c>
      <c r="D100" s="2">
        <v>258</v>
      </c>
      <c r="E100" s="2">
        <v>217</v>
      </c>
      <c r="F100" s="2">
        <v>214</v>
      </c>
      <c r="G100" s="2">
        <v>9007095</v>
      </c>
      <c r="H100" s="2">
        <v>2599407.88</v>
      </c>
      <c r="I100" s="2" t="s">
        <v>38</v>
      </c>
    </row>
    <row r="101" spans="1:9">
      <c r="A101" s="3">
        <v>45717</v>
      </c>
      <c r="B101" s="2" t="s">
        <v>9</v>
      </c>
      <c r="C101" s="2">
        <v>3418</v>
      </c>
      <c r="D101" s="2">
        <v>112</v>
      </c>
      <c r="E101" s="2">
        <v>68</v>
      </c>
      <c r="F101" s="2">
        <v>68</v>
      </c>
      <c r="G101" s="2">
        <v>24787956</v>
      </c>
      <c r="H101" s="2">
        <v>467400</v>
      </c>
      <c r="I101" s="2" t="s">
        <v>40</v>
      </c>
    </row>
    <row r="102" spans="1:9">
      <c r="A102" s="3">
        <v>45962</v>
      </c>
      <c r="B102" s="2" t="s">
        <v>5</v>
      </c>
      <c r="C102" s="2">
        <v>1096</v>
      </c>
      <c r="D102" s="2">
        <v>635</v>
      </c>
      <c r="E102" s="2">
        <v>577</v>
      </c>
      <c r="F102" s="2">
        <v>575</v>
      </c>
      <c r="G102" s="2">
        <v>12615300</v>
      </c>
      <c r="H102" s="2">
        <v>4579300</v>
      </c>
      <c r="I102" s="2" t="s">
        <v>38</v>
      </c>
    </row>
    <row r="103" spans="1:9">
      <c r="A103" s="3">
        <v>45839</v>
      </c>
      <c r="B103" s="2" t="s">
        <v>5</v>
      </c>
      <c r="C103" s="2">
        <v>908</v>
      </c>
      <c r="D103" s="2">
        <v>560</v>
      </c>
      <c r="E103" s="2">
        <v>514</v>
      </c>
      <c r="F103" s="2">
        <v>508</v>
      </c>
      <c r="G103" s="2">
        <v>14865880</v>
      </c>
      <c r="H103" s="2">
        <v>5532570</v>
      </c>
      <c r="I103" s="2" t="s">
        <v>38</v>
      </c>
    </row>
    <row r="104" spans="1:9">
      <c r="A104" s="3">
        <v>45931</v>
      </c>
      <c r="B104" s="2" t="s">
        <v>8</v>
      </c>
      <c r="C104" s="2">
        <v>24927</v>
      </c>
      <c r="D104" s="2">
        <v>2084</v>
      </c>
      <c r="E104" s="2">
        <v>1584</v>
      </c>
      <c r="F104" s="2">
        <v>1566</v>
      </c>
      <c r="G104" s="2">
        <v>230685505</v>
      </c>
      <c r="H104" s="2">
        <v>12139100</v>
      </c>
      <c r="I104" s="2" t="s">
        <v>35</v>
      </c>
    </row>
    <row r="105" spans="1:9">
      <c r="A105" s="3">
        <v>46023</v>
      </c>
      <c r="B105" s="2" t="s">
        <v>6</v>
      </c>
      <c r="C105" s="2">
        <v>4123</v>
      </c>
      <c r="D105" s="2">
        <v>1885</v>
      </c>
      <c r="E105" s="2">
        <v>1794</v>
      </c>
      <c r="F105" s="2">
        <v>1784</v>
      </c>
      <c r="G105" s="2">
        <v>53070800</v>
      </c>
      <c r="H105" s="2">
        <v>19717800</v>
      </c>
      <c r="I105" s="2" t="s">
        <v>43</v>
      </c>
    </row>
    <row r="106" spans="1:9">
      <c r="A106" s="3">
        <v>45748</v>
      </c>
      <c r="B106" s="2" t="s">
        <v>6</v>
      </c>
      <c r="C106" s="2">
        <v>5457</v>
      </c>
      <c r="D106" s="2">
        <v>2259</v>
      </c>
      <c r="E106" s="2">
        <v>2138</v>
      </c>
      <c r="F106" s="2">
        <v>2122</v>
      </c>
      <c r="G106" s="2">
        <v>149292370</v>
      </c>
      <c r="H106" s="2">
        <v>36821333.63</v>
      </c>
      <c r="I106" s="2" t="s">
        <v>41</v>
      </c>
    </row>
    <row r="107" spans="1:9">
      <c r="A107" s="3">
        <v>45962</v>
      </c>
      <c r="B107" s="2" t="s">
        <v>9</v>
      </c>
      <c r="C107" s="2">
        <v>9726</v>
      </c>
      <c r="D107" s="2">
        <v>172</v>
      </c>
      <c r="E107" s="2">
        <v>88</v>
      </c>
      <c r="F107" s="2">
        <v>86</v>
      </c>
      <c r="G107" s="2">
        <v>81168255</v>
      </c>
      <c r="H107" s="2">
        <v>786300</v>
      </c>
      <c r="I107" s="2" t="s">
        <v>43</v>
      </c>
    </row>
    <row r="108" spans="1:9">
      <c r="A108" s="3">
        <v>45931</v>
      </c>
      <c r="B108" s="2" t="s">
        <v>6</v>
      </c>
      <c r="C108" s="2">
        <v>5484</v>
      </c>
      <c r="D108" s="2">
        <v>2820</v>
      </c>
      <c r="E108" s="2">
        <v>2584</v>
      </c>
      <c r="F108" s="2">
        <v>2537</v>
      </c>
      <c r="G108" s="2">
        <v>136082400</v>
      </c>
      <c r="H108" s="2">
        <v>46160200</v>
      </c>
      <c r="I108" s="2" t="s">
        <v>35</v>
      </c>
    </row>
    <row r="109" spans="1:9">
      <c r="A109" s="3">
        <v>45839</v>
      </c>
      <c r="B109" s="2" t="s">
        <v>5</v>
      </c>
      <c r="C109" s="2">
        <v>7854</v>
      </c>
      <c r="D109" s="2">
        <v>4620</v>
      </c>
      <c r="E109" s="2">
        <v>4281</v>
      </c>
      <c r="F109" s="2">
        <v>4232</v>
      </c>
      <c r="G109" s="2">
        <v>139877580</v>
      </c>
      <c r="H109" s="2">
        <v>53279960</v>
      </c>
      <c r="I109" s="2" t="s">
        <v>40</v>
      </c>
    </row>
    <row r="110" spans="1:9">
      <c r="A110" s="3">
        <v>45839</v>
      </c>
      <c r="B110" s="2" t="s">
        <v>8</v>
      </c>
      <c r="C110" s="2">
        <v>2922</v>
      </c>
      <c r="D110" s="2">
        <v>200</v>
      </c>
      <c r="E110" s="2">
        <v>134</v>
      </c>
      <c r="F110" s="2">
        <v>131</v>
      </c>
      <c r="G110" s="2">
        <v>23386155</v>
      </c>
      <c r="H110" s="2">
        <v>638344.12</v>
      </c>
      <c r="I110" s="2" t="s">
        <v>39</v>
      </c>
    </row>
    <row r="111" spans="1:9">
      <c r="A111" s="3">
        <v>45778</v>
      </c>
      <c r="B111" s="2" t="s">
        <v>8</v>
      </c>
      <c r="C111" s="2">
        <v>21919</v>
      </c>
      <c r="D111" s="2">
        <v>3198</v>
      </c>
      <c r="E111" s="2">
        <v>2628</v>
      </c>
      <c r="F111" s="2">
        <v>2606</v>
      </c>
      <c r="G111" s="2">
        <v>197412760</v>
      </c>
      <c r="H111" s="2">
        <v>21450886.09</v>
      </c>
      <c r="I111" s="2" t="s">
        <v>35</v>
      </c>
    </row>
    <row r="112" spans="1:9">
      <c r="A112" s="3">
        <v>45992</v>
      </c>
      <c r="B112" s="2" t="s">
        <v>7</v>
      </c>
      <c r="C112" s="2">
        <v>129526</v>
      </c>
      <c r="D112" s="2">
        <v>329</v>
      </c>
      <c r="E112" s="2">
        <v>163</v>
      </c>
      <c r="F112" s="2">
        <v>158</v>
      </c>
      <c r="G112" s="2">
        <v>1772845082</v>
      </c>
      <c r="H112" s="2">
        <v>1650800</v>
      </c>
      <c r="I112" s="2" t="s">
        <v>38</v>
      </c>
    </row>
    <row r="113" spans="1:9">
      <c r="A113" s="3">
        <v>45992</v>
      </c>
      <c r="B113" s="2" t="s">
        <v>8</v>
      </c>
      <c r="C113" s="2">
        <v>3338</v>
      </c>
      <c r="D113" s="2">
        <v>254</v>
      </c>
      <c r="E113" s="2">
        <v>193</v>
      </c>
      <c r="F113" s="2">
        <v>190</v>
      </c>
      <c r="G113" s="2">
        <v>25791150</v>
      </c>
      <c r="H113" s="2">
        <v>1242600</v>
      </c>
      <c r="I113" s="2" t="s">
        <v>42</v>
      </c>
    </row>
    <row r="114" spans="1:9">
      <c r="A114" s="3">
        <v>45901</v>
      </c>
      <c r="B114" s="2" t="s">
        <v>6</v>
      </c>
      <c r="C114" s="2">
        <v>6089</v>
      </c>
      <c r="D114" s="2">
        <v>3167</v>
      </c>
      <c r="E114" s="2">
        <v>2651</v>
      </c>
      <c r="F114" s="2">
        <v>2624</v>
      </c>
      <c r="G114" s="2">
        <v>110078300</v>
      </c>
      <c r="H114" s="2">
        <v>35836605.99</v>
      </c>
      <c r="I114" s="2" t="s">
        <v>37</v>
      </c>
    </row>
    <row r="115" spans="1:9">
      <c r="A115" s="3">
        <v>45748</v>
      </c>
      <c r="B115" s="2" t="s">
        <v>8</v>
      </c>
      <c r="C115" s="2">
        <v>2555</v>
      </c>
      <c r="D115" s="2">
        <v>313</v>
      </c>
      <c r="E115" s="2">
        <v>237</v>
      </c>
      <c r="F115" s="2">
        <v>234</v>
      </c>
      <c r="G115" s="2">
        <v>20465965</v>
      </c>
      <c r="H115" s="2">
        <v>1450183.62</v>
      </c>
      <c r="I115" s="2" t="s">
        <v>39</v>
      </c>
    </row>
    <row r="116" spans="1:9">
      <c r="A116" s="3">
        <v>45658</v>
      </c>
      <c r="B116" s="2" t="s">
        <v>7</v>
      </c>
      <c r="C116" s="2">
        <v>225980</v>
      </c>
      <c r="D116" s="2">
        <v>1987</v>
      </c>
      <c r="E116" s="2">
        <v>614</v>
      </c>
      <c r="F116" s="2">
        <v>642</v>
      </c>
      <c r="G116" s="2">
        <v>2520233396</v>
      </c>
      <c r="H116" s="2">
        <v>7720432</v>
      </c>
      <c r="I116" s="2" t="s">
        <v>40</v>
      </c>
    </row>
    <row r="117" spans="1:9">
      <c r="A117" s="3">
        <v>45809</v>
      </c>
      <c r="B117" s="2" t="s">
        <v>7</v>
      </c>
      <c r="C117" s="2">
        <v>736214</v>
      </c>
      <c r="D117" s="2">
        <v>4480</v>
      </c>
      <c r="E117" s="2">
        <v>2140</v>
      </c>
      <c r="F117" s="2">
        <v>2121</v>
      </c>
      <c r="G117" s="2">
        <v>10677614299</v>
      </c>
      <c r="H117" s="2">
        <v>23008944.16</v>
      </c>
      <c r="I117" s="2" t="s">
        <v>37</v>
      </c>
    </row>
    <row r="118" spans="1:9">
      <c r="A118" s="3">
        <v>45658</v>
      </c>
      <c r="B118" s="2" t="s">
        <v>8</v>
      </c>
      <c r="C118" s="2">
        <v>6122</v>
      </c>
      <c r="D118" s="2">
        <v>1277</v>
      </c>
      <c r="E118" s="2">
        <v>945</v>
      </c>
      <c r="F118" s="2">
        <v>945</v>
      </c>
      <c r="G118" s="2">
        <v>33946885</v>
      </c>
      <c r="H118" s="2">
        <v>5568821.85</v>
      </c>
      <c r="I118" s="2" t="s">
        <v>40</v>
      </c>
    </row>
    <row r="119" spans="1:9">
      <c r="A119" s="3">
        <v>45658</v>
      </c>
      <c r="B119" s="2" t="s">
        <v>5</v>
      </c>
      <c r="C119" s="2">
        <v>776</v>
      </c>
      <c r="D119" s="2">
        <v>446</v>
      </c>
      <c r="E119" s="2">
        <v>405</v>
      </c>
      <c r="F119" s="2">
        <v>401</v>
      </c>
      <c r="G119" s="2">
        <v>15009945</v>
      </c>
      <c r="H119" s="2">
        <v>6482630</v>
      </c>
      <c r="I119" s="2" t="s">
        <v>36</v>
      </c>
    </row>
    <row r="120" spans="1:9">
      <c r="A120" s="3">
        <v>45809</v>
      </c>
      <c r="B120" s="2" t="s">
        <v>9</v>
      </c>
      <c r="C120" s="2">
        <v>358</v>
      </c>
      <c r="D120" s="2">
        <v>7</v>
      </c>
      <c r="E120" s="2">
        <v>3</v>
      </c>
      <c r="F120" s="2">
        <v>3</v>
      </c>
      <c r="G120" s="2">
        <v>2851820</v>
      </c>
      <c r="H120" s="2">
        <v>10800</v>
      </c>
      <c r="I120" s="2" t="s">
        <v>42</v>
      </c>
    </row>
    <row r="121" spans="1:9">
      <c r="A121" s="3">
        <v>45931</v>
      </c>
      <c r="B121" s="2" t="s">
        <v>7</v>
      </c>
      <c r="C121" s="2">
        <v>256329</v>
      </c>
      <c r="D121" s="2">
        <v>1335</v>
      </c>
      <c r="E121" s="2">
        <v>787</v>
      </c>
      <c r="F121" s="2">
        <v>781</v>
      </c>
      <c r="G121" s="2">
        <v>3151924906</v>
      </c>
      <c r="H121" s="2">
        <v>10324401.97</v>
      </c>
      <c r="I121" s="2" t="s">
        <v>40</v>
      </c>
    </row>
    <row r="122" spans="1:9">
      <c r="A122" s="3">
        <v>45870</v>
      </c>
      <c r="B122" s="2" t="s">
        <v>8</v>
      </c>
      <c r="C122" s="2">
        <v>23369</v>
      </c>
      <c r="D122" s="2">
        <v>2060</v>
      </c>
      <c r="E122" s="2">
        <v>1650</v>
      </c>
      <c r="F122" s="2">
        <v>1635</v>
      </c>
      <c r="G122" s="2">
        <v>216424735</v>
      </c>
      <c r="H122" s="2">
        <v>13181800.3</v>
      </c>
      <c r="I122" s="2" t="s">
        <v>35</v>
      </c>
    </row>
    <row r="123" spans="1:9">
      <c r="A123" s="3">
        <v>46054</v>
      </c>
      <c r="B123" s="2" t="s">
        <v>6</v>
      </c>
      <c r="C123" s="2">
        <v>326</v>
      </c>
      <c r="D123" s="2">
        <v>161</v>
      </c>
      <c r="E123" s="2">
        <v>157</v>
      </c>
      <c r="F123" s="2">
        <v>157</v>
      </c>
      <c r="G123" s="2">
        <v>5587500</v>
      </c>
      <c r="H123" s="2">
        <v>1723300</v>
      </c>
      <c r="I123" s="2" t="s">
        <v>36</v>
      </c>
    </row>
    <row r="124" spans="1:9">
      <c r="A124" s="3">
        <v>46082</v>
      </c>
      <c r="B124" s="2" t="s">
        <v>8</v>
      </c>
      <c r="C124" s="2">
        <v>3339</v>
      </c>
      <c r="D124" s="2">
        <v>16</v>
      </c>
      <c r="E124" s="2">
        <v>12</v>
      </c>
      <c r="F124" s="2">
        <v>12</v>
      </c>
      <c r="G124" s="2">
        <v>25002315</v>
      </c>
      <c r="H124" s="2">
        <v>36800</v>
      </c>
      <c r="I124" s="2" t="s">
        <v>42</v>
      </c>
    </row>
    <row r="125" spans="1:9">
      <c r="A125" s="3">
        <v>45809</v>
      </c>
      <c r="B125" s="2" t="s">
        <v>5</v>
      </c>
      <c r="C125" s="2">
        <v>14490</v>
      </c>
      <c r="D125" s="2">
        <v>7804</v>
      </c>
      <c r="E125" s="2">
        <v>7187</v>
      </c>
      <c r="F125" s="2">
        <v>7070</v>
      </c>
      <c r="G125" s="2">
        <v>275727690</v>
      </c>
      <c r="H125" s="2">
        <v>88236120</v>
      </c>
      <c r="I125" s="2" t="s">
        <v>37</v>
      </c>
    </row>
    <row r="126" spans="1:9">
      <c r="A126" s="3">
        <v>45931</v>
      </c>
      <c r="B126" s="2" t="s">
        <v>7</v>
      </c>
      <c r="C126" s="2">
        <v>109514</v>
      </c>
      <c r="D126" s="2">
        <v>116</v>
      </c>
      <c r="E126" s="2">
        <v>58</v>
      </c>
      <c r="F126" s="2">
        <v>59</v>
      </c>
      <c r="G126" s="2">
        <v>1723248155</v>
      </c>
      <c r="H126" s="2">
        <v>558038.4</v>
      </c>
      <c r="I126" s="2" t="s">
        <v>39</v>
      </c>
    </row>
    <row r="127" spans="1:9">
      <c r="A127" s="3">
        <v>45748</v>
      </c>
      <c r="B127" s="2" t="s">
        <v>8</v>
      </c>
      <c r="C127" s="2">
        <v>4199</v>
      </c>
      <c r="D127" s="2">
        <v>826</v>
      </c>
      <c r="E127" s="2">
        <v>721</v>
      </c>
      <c r="F127" s="2">
        <v>710</v>
      </c>
      <c r="G127" s="2">
        <v>35494740</v>
      </c>
      <c r="H127" s="2">
        <v>6523175.9</v>
      </c>
      <c r="I127" s="2" t="s">
        <v>41</v>
      </c>
    </row>
    <row r="128" spans="1:9">
      <c r="A128" s="3">
        <v>46054</v>
      </c>
      <c r="B128" s="2" t="s">
        <v>9</v>
      </c>
      <c r="C128" s="2">
        <v>9708</v>
      </c>
      <c r="D128" s="2">
        <v>33</v>
      </c>
      <c r="E128" s="2">
        <v>10</v>
      </c>
      <c r="F128" s="2">
        <v>9</v>
      </c>
      <c r="G128" s="2">
        <v>81263050</v>
      </c>
      <c r="H128" s="2">
        <v>112500</v>
      </c>
      <c r="I128" s="2" t="s">
        <v>43</v>
      </c>
    </row>
    <row r="129" spans="1:9">
      <c r="A129" s="3">
        <v>45962</v>
      </c>
      <c r="B129" s="2" t="s">
        <v>6</v>
      </c>
      <c r="C129" s="2">
        <v>493</v>
      </c>
      <c r="D129" s="2">
        <v>257</v>
      </c>
      <c r="E129" s="2">
        <v>217</v>
      </c>
      <c r="F129" s="2">
        <v>216</v>
      </c>
      <c r="G129" s="2">
        <v>5854900</v>
      </c>
      <c r="H129" s="2">
        <v>1462300</v>
      </c>
      <c r="I129" s="2" t="s">
        <v>38</v>
      </c>
    </row>
    <row r="130" spans="1:9">
      <c r="A130" s="3">
        <v>45778</v>
      </c>
      <c r="B130" s="2" t="s">
        <v>5</v>
      </c>
      <c r="C130" s="2">
        <v>18465</v>
      </c>
      <c r="D130" s="2">
        <v>9133</v>
      </c>
      <c r="E130" s="2">
        <v>8836</v>
      </c>
      <c r="F130" s="2">
        <v>8772</v>
      </c>
      <c r="G130" s="2">
        <v>368966590</v>
      </c>
      <c r="H130" s="2">
        <v>130297065</v>
      </c>
      <c r="I130" s="2" t="s">
        <v>43</v>
      </c>
    </row>
    <row r="131" spans="1:9">
      <c r="A131" s="3">
        <v>45901</v>
      </c>
      <c r="B131" s="2" t="s">
        <v>9</v>
      </c>
      <c r="C131" s="2">
        <v>2959</v>
      </c>
      <c r="D131" s="2">
        <v>52</v>
      </c>
      <c r="E131" s="2">
        <v>30</v>
      </c>
      <c r="F131" s="2">
        <v>30</v>
      </c>
      <c r="G131" s="2">
        <v>23517995</v>
      </c>
      <c r="H131" s="2">
        <v>306466.33</v>
      </c>
      <c r="I131" s="2" t="s">
        <v>41</v>
      </c>
    </row>
    <row r="132" spans="1:9">
      <c r="A132" s="3">
        <v>45748</v>
      </c>
      <c r="B132" s="2" t="s">
        <v>8</v>
      </c>
      <c r="C132" s="2">
        <v>4218</v>
      </c>
      <c r="D132" s="2">
        <v>1202</v>
      </c>
      <c r="E132" s="2">
        <v>1018</v>
      </c>
      <c r="F132" s="2">
        <v>1018</v>
      </c>
      <c r="G132" s="2">
        <v>26046705</v>
      </c>
      <c r="H132" s="2">
        <v>6012671.87</v>
      </c>
      <c r="I132" s="2" t="s">
        <v>44</v>
      </c>
    </row>
    <row r="133" spans="1:9">
      <c r="A133" s="3">
        <v>45931</v>
      </c>
      <c r="B133" s="2" t="s">
        <v>7</v>
      </c>
      <c r="C133" s="2">
        <v>769197</v>
      </c>
      <c r="D133" s="2">
        <v>3696</v>
      </c>
      <c r="E133" s="2">
        <v>1991</v>
      </c>
      <c r="F133" s="2">
        <v>1978</v>
      </c>
      <c r="G133" s="2">
        <v>11399137784</v>
      </c>
      <c r="H133" s="2">
        <v>25945658.83</v>
      </c>
      <c r="I133" s="2" t="s">
        <v>37</v>
      </c>
    </row>
    <row r="134" spans="1:9">
      <c r="A134" s="3">
        <v>45748</v>
      </c>
      <c r="B134" s="2" t="s">
        <v>42</v>
      </c>
      <c r="C134" s="2">
        <v>5103</v>
      </c>
      <c r="D134" s="2">
        <v>53</v>
      </c>
      <c r="E134" s="2">
        <v>23</v>
      </c>
      <c r="F134" s="2">
        <v>23</v>
      </c>
      <c r="G134" s="2">
        <v>64743010</v>
      </c>
      <c r="H134" s="2">
        <v>287475</v>
      </c>
      <c r="I134" s="2" t="s">
        <v>40</v>
      </c>
    </row>
    <row r="135" spans="1:9">
      <c r="A135" s="3">
        <v>45901</v>
      </c>
      <c r="B135" s="2" t="s">
        <v>5</v>
      </c>
      <c r="C135" s="2">
        <v>16154</v>
      </c>
      <c r="D135" s="2">
        <v>9103</v>
      </c>
      <c r="E135" s="2">
        <v>8200</v>
      </c>
      <c r="F135" s="2">
        <v>8113</v>
      </c>
      <c r="G135" s="2">
        <v>316232200</v>
      </c>
      <c r="H135" s="2">
        <v>113376900</v>
      </c>
      <c r="I135" s="2" t="s">
        <v>37</v>
      </c>
    </row>
    <row r="136" spans="1:9">
      <c r="A136" s="3">
        <v>45839</v>
      </c>
      <c r="B136" s="2" t="s">
        <v>6</v>
      </c>
      <c r="C136" s="2">
        <v>127</v>
      </c>
      <c r="D136" s="2">
        <v>62</v>
      </c>
      <c r="E136" s="2">
        <v>49</v>
      </c>
      <c r="F136" s="2">
        <v>49</v>
      </c>
      <c r="G136" s="2">
        <v>2046745</v>
      </c>
      <c r="H136" s="2">
        <v>509859.47</v>
      </c>
      <c r="I136" s="2" t="s">
        <v>42</v>
      </c>
    </row>
    <row r="137" spans="1:9">
      <c r="A137" s="3">
        <v>45931</v>
      </c>
      <c r="B137" s="2" t="s">
        <v>6</v>
      </c>
      <c r="C137" s="2">
        <v>6564</v>
      </c>
      <c r="D137" s="2">
        <v>3204</v>
      </c>
      <c r="E137" s="2">
        <v>3008</v>
      </c>
      <c r="F137" s="2">
        <v>2990</v>
      </c>
      <c r="G137" s="2">
        <v>181849600</v>
      </c>
      <c r="H137" s="2">
        <v>55255300</v>
      </c>
      <c r="I137" s="2" t="s">
        <v>41</v>
      </c>
    </row>
    <row r="138" spans="1:9">
      <c r="A138" s="3">
        <v>45992</v>
      </c>
      <c r="B138" s="2" t="s">
        <v>6</v>
      </c>
      <c r="C138" s="2">
        <v>4645</v>
      </c>
      <c r="D138" s="2">
        <v>2164</v>
      </c>
      <c r="E138" s="2">
        <v>1971</v>
      </c>
      <c r="F138" s="2">
        <v>1965</v>
      </c>
      <c r="G138" s="2">
        <v>65909300</v>
      </c>
      <c r="H138" s="2">
        <v>24435400</v>
      </c>
      <c r="I138" s="2" t="s">
        <v>43</v>
      </c>
    </row>
    <row r="139" spans="1:9">
      <c r="A139" s="3">
        <v>45717</v>
      </c>
      <c r="B139" s="2" t="s">
        <v>42</v>
      </c>
      <c r="C139" s="2">
        <v>5106</v>
      </c>
      <c r="D139" s="2">
        <v>40</v>
      </c>
      <c r="E139" s="2">
        <v>15</v>
      </c>
      <c r="F139" s="2">
        <v>15</v>
      </c>
      <c r="G139" s="2">
        <v>64600655</v>
      </c>
      <c r="H139" s="2">
        <v>106563.74</v>
      </c>
      <c r="I139" s="2" t="s">
        <v>40</v>
      </c>
    </row>
    <row r="140" spans="1:9">
      <c r="A140" s="3">
        <v>46054</v>
      </c>
      <c r="B140" s="2" t="s">
        <v>10</v>
      </c>
      <c r="C140" s="2">
        <v>136</v>
      </c>
      <c r="D140" s="2">
        <v>6</v>
      </c>
      <c r="E140" s="2">
        <v>0</v>
      </c>
      <c r="F140" s="2">
        <v>0</v>
      </c>
      <c r="G140" s="2">
        <v>1824600</v>
      </c>
      <c r="H140" s="2" t="s">
        <v>45</v>
      </c>
      <c r="I140" s="2" t="s">
        <v>42</v>
      </c>
    </row>
    <row r="141" spans="1:9">
      <c r="A141" s="3">
        <v>45839</v>
      </c>
      <c r="B141" s="2" t="s">
        <v>9</v>
      </c>
      <c r="C141" s="2">
        <v>8356</v>
      </c>
      <c r="D141" s="2">
        <v>597</v>
      </c>
      <c r="E141" s="2">
        <v>160</v>
      </c>
      <c r="F141" s="2">
        <v>162</v>
      </c>
      <c r="G141" s="2">
        <v>42247885</v>
      </c>
      <c r="H141" s="2">
        <v>640733.54</v>
      </c>
      <c r="I141" s="2" t="s">
        <v>44</v>
      </c>
    </row>
    <row r="142" spans="1:9">
      <c r="A142" s="3">
        <v>45992</v>
      </c>
      <c r="B142" s="2" t="s">
        <v>8</v>
      </c>
      <c r="C142" s="2">
        <v>3354</v>
      </c>
      <c r="D142" s="2">
        <v>154</v>
      </c>
      <c r="E142" s="2">
        <v>112</v>
      </c>
      <c r="F142" s="2">
        <v>110</v>
      </c>
      <c r="G142" s="2">
        <v>28268870</v>
      </c>
      <c r="H142" s="2">
        <v>813900</v>
      </c>
      <c r="I142" s="2" t="s">
        <v>39</v>
      </c>
    </row>
    <row r="143" spans="1:9">
      <c r="A143" s="3">
        <v>46082</v>
      </c>
      <c r="B143" s="2" t="s">
        <v>9</v>
      </c>
      <c r="C143" s="2">
        <v>379</v>
      </c>
      <c r="D143" s="2">
        <v>0</v>
      </c>
      <c r="E143" s="2" t="s">
        <v>45</v>
      </c>
      <c r="F143" s="2">
        <v>0</v>
      </c>
      <c r="G143" s="2">
        <v>2977365</v>
      </c>
      <c r="H143" s="2" t="s">
        <v>45</v>
      </c>
      <c r="I143" s="2" t="s">
        <v>42</v>
      </c>
    </row>
    <row r="144" spans="1:9">
      <c r="A144" s="3">
        <v>45689</v>
      </c>
      <c r="B144" s="2" t="s">
        <v>7</v>
      </c>
      <c r="C144" s="2">
        <v>122915</v>
      </c>
      <c r="D144" s="2">
        <v>681</v>
      </c>
      <c r="E144" s="2">
        <v>253</v>
      </c>
      <c r="F144" s="2">
        <v>249</v>
      </c>
      <c r="G144" s="2">
        <v>1652480067</v>
      </c>
      <c r="H144" s="2">
        <v>2268660.5</v>
      </c>
      <c r="I144" s="2" t="s">
        <v>38</v>
      </c>
    </row>
    <row r="145" spans="1:9">
      <c r="A145" s="3">
        <v>45748</v>
      </c>
      <c r="B145" s="2" t="s">
        <v>9</v>
      </c>
      <c r="C145" s="2">
        <v>5584</v>
      </c>
      <c r="D145" s="2">
        <v>173</v>
      </c>
      <c r="E145" s="2">
        <v>88</v>
      </c>
      <c r="F145" s="2">
        <v>86</v>
      </c>
      <c r="G145" s="2">
        <v>48370605</v>
      </c>
      <c r="H145" s="2">
        <v>717700</v>
      </c>
      <c r="I145" s="2" t="s">
        <v>35</v>
      </c>
    </row>
    <row r="146" spans="1:9">
      <c r="A146" s="3">
        <v>46054</v>
      </c>
      <c r="B146" s="2" t="s">
        <v>7</v>
      </c>
      <c r="C146" s="2">
        <v>756355</v>
      </c>
      <c r="D146" s="2">
        <v>1438</v>
      </c>
      <c r="E146" s="2">
        <v>859</v>
      </c>
      <c r="F146" s="2">
        <v>858</v>
      </c>
      <c r="G146" s="2">
        <v>18329357046</v>
      </c>
      <c r="H146" s="2">
        <v>15049500</v>
      </c>
      <c r="I146" s="2" t="s">
        <v>35</v>
      </c>
    </row>
    <row r="147" spans="1:9">
      <c r="A147" s="3">
        <v>45809</v>
      </c>
      <c r="B147" s="2" t="s">
        <v>9</v>
      </c>
      <c r="C147" s="2">
        <v>9256</v>
      </c>
      <c r="D147" s="2">
        <v>233</v>
      </c>
      <c r="E147" s="2">
        <v>111</v>
      </c>
      <c r="F147" s="2">
        <v>111</v>
      </c>
      <c r="G147" s="2">
        <v>75549860</v>
      </c>
      <c r="H147" s="2">
        <v>663380</v>
      </c>
      <c r="I147" s="2" t="s">
        <v>43</v>
      </c>
    </row>
    <row r="148" spans="1:9">
      <c r="A148" s="3">
        <v>45901</v>
      </c>
      <c r="B148" s="2" t="s">
        <v>7</v>
      </c>
      <c r="C148" s="2">
        <v>109301</v>
      </c>
      <c r="D148" s="2">
        <v>115</v>
      </c>
      <c r="E148" s="2">
        <v>48</v>
      </c>
      <c r="F148" s="2">
        <v>50</v>
      </c>
      <c r="G148" s="2">
        <v>1719181640</v>
      </c>
      <c r="H148" s="2">
        <v>326319.05</v>
      </c>
      <c r="I148" s="2" t="s">
        <v>39</v>
      </c>
    </row>
    <row r="149" spans="1:9">
      <c r="A149" s="3">
        <v>45717</v>
      </c>
      <c r="B149" s="2" t="s">
        <v>5</v>
      </c>
      <c r="C149" s="2">
        <v>17334</v>
      </c>
      <c r="D149" s="2">
        <v>6429</v>
      </c>
      <c r="E149" s="2">
        <v>6120</v>
      </c>
      <c r="F149" s="2">
        <v>6072</v>
      </c>
      <c r="G149" s="2">
        <v>569668220</v>
      </c>
      <c r="H149" s="2">
        <v>127761120.15</v>
      </c>
      <c r="I149" s="2" t="s">
        <v>41</v>
      </c>
    </row>
    <row r="150" spans="1:9">
      <c r="A150" s="3">
        <v>45778</v>
      </c>
      <c r="B150" s="2" t="s">
        <v>9</v>
      </c>
      <c r="C150" s="2">
        <v>352</v>
      </c>
      <c r="D150" s="2">
        <v>14</v>
      </c>
      <c r="E150" s="2">
        <v>9</v>
      </c>
      <c r="F150" s="2">
        <v>8</v>
      </c>
      <c r="G150" s="2">
        <v>2803650</v>
      </c>
      <c r="H150" s="2">
        <v>41100</v>
      </c>
      <c r="I150" s="2" t="s">
        <v>42</v>
      </c>
    </row>
    <row r="151" spans="1:9">
      <c r="A151" s="3">
        <v>46054</v>
      </c>
      <c r="B151" s="2" t="s">
        <v>9</v>
      </c>
      <c r="C151" s="2">
        <v>9911</v>
      </c>
      <c r="D151" s="2">
        <v>61</v>
      </c>
      <c r="E151" s="2">
        <v>1</v>
      </c>
      <c r="F151" s="2">
        <v>1</v>
      </c>
      <c r="G151" s="2">
        <v>49030680</v>
      </c>
      <c r="H151" s="2">
        <v>6400</v>
      </c>
      <c r="I151" s="2" t="s">
        <v>44</v>
      </c>
    </row>
    <row r="152" spans="1:9">
      <c r="A152" s="3">
        <v>45962</v>
      </c>
      <c r="B152" s="2" t="s">
        <v>6</v>
      </c>
      <c r="C152" s="2">
        <v>4985</v>
      </c>
      <c r="D152" s="2">
        <v>2498</v>
      </c>
      <c r="E152" s="2">
        <v>2298</v>
      </c>
      <c r="F152" s="2">
        <v>2294</v>
      </c>
      <c r="G152" s="2">
        <v>103138500</v>
      </c>
      <c r="H152" s="2">
        <v>35486800</v>
      </c>
      <c r="I152" s="2" t="s">
        <v>35</v>
      </c>
    </row>
    <row r="153" spans="1:9">
      <c r="A153" s="3">
        <v>45839</v>
      </c>
      <c r="B153" s="2" t="s">
        <v>5</v>
      </c>
      <c r="C153" s="2">
        <v>9045</v>
      </c>
      <c r="D153" s="2">
        <v>4570</v>
      </c>
      <c r="E153" s="2">
        <v>4454</v>
      </c>
      <c r="F153" s="2">
        <v>4408</v>
      </c>
      <c r="G153" s="2">
        <v>181953650</v>
      </c>
      <c r="H153" s="2">
        <v>69713320</v>
      </c>
      <c r="I153" s="2" t="s">
        <v>43</v>
      </c>
    </row>
    <row r="154" spans="1:9">
      <c r="A154" s="3">
        <v>45839</v>
      </c>
      <c r="B154" s="2" t="s">
        <v>5</v>
      </c>
      <c r="C154" s="2">
        <v>502</v>
      </c>
      <c r="D154" s="2">
        <v>226</v>
      </c>
      <c r="E154" s="2">
        <v>211</v>
      </c>
      <c r="F154" s="2">
        <v>206</v>
      </c>
      <c r="G154" s="2">
        <v>7869485</v>
      </c>
      <c r="H154" s="2">
        <v>1918275</v>
      </c>
      <c r="I154" s="2" t="s">
        <v>39</v>
      </c>
    </row>
    <row r="155" spans="1:9">
      <c r="A155" s="3">
        <v>45992</v>
      </c>
      <c r="B155" s="2" t="s">
        <v>7</v>
      </c>
      <c r="C155" s="2">
        <v>710153</v>
      </c>
      <c r="D155" s="2">
        <v>2418</v>
      </c>
      <c r="E155" s="2">
        <v>1437</v>
      </c>
      <c r="F155" s="2">
        <v>1418</v>
      </c>
      <c r="G155" s="2">
        <v>13161769424</v>
      </c>
      <c r="H155" s="2">
        <v>21842600</v>
      </c>
      <c r="I155" s="2" t="s">
        <v>43</v>
      </c>
    </row>
    <row r="156" spans="1:9">
      <c r="A156" s="3">
        <v>46082</v>
      </c>
      <c r="B156" s="2" t="s">
        <v>7</v>
      </c>
      <c r="C156" s="2">
        <v>808299</v>
      </c>
      <c r="D156" s="2">
        <v>228</v>
      </c>
      <c r="E156" s="2">
        <v>161</v>
      </c>
      <c r="F156" s="2">
        <v>167</v>
      </c>
      <c r="G156" s="2">
        <v>11987256254</v>
      </c>
      <c r="H156" s="2">
        <v>1508900</v>
      </c>
      <c r="I156" s="2" t="s">
        <v>37</v>
      </c>
    </row>
    <row r="157" spans="1:9">
      <c r="A157" s="3">
        <v>45748</v>
      </c>
      <c r="B157" s="2" t="s">
        <v>6</v>
      </c>
      <c r="C157" s="2">
        <v>817</v>
      </c>
      <c r="D157" s="2">
        <v>481</v>
      </c>
      <c r="E157" s="2">
        <v>425</v>
      </c>
      <c r="F157" s="2">
        <v>420</v>
      </c>
      <c r="G157" s="2">
        <v>13379140</v>
      </c>
      <c r="H157" s="2">
        <v>5139242.02</v>
      </c>
      <c r="I157" s="2" t="s">
        <v>40</v>
      </c>
    </row>
    <row r="158" spans="1:9">
      <c r="A158" s="3">
        <v>45901</v>
      </c>
      <c r="B158" s="2" t="s">
        <v>6</v>
      </c>
      <c r="C158" s="2">
        <v>858</v>
      </c>
      <c r="D158" s="2">
        <v>407</v>
      </c>
      <c r="E158" s="2">
        <v>355</v>
      </c>
      <c r="F158" s="2">
        <v>348</v>
      </c>
      <c r="G158" s="2">
        <v>19094000</v>
      </c>
      <c r="H158" s="2">
        <v>6728776.09</v>
      </c>
      <c r="I158" s="2" t="s">
        <v>36</v>
      </c>
    </row>
    <row r="159" spans="1:9">
      <c r="A159" s="3">
        <v>46023</v>
      </c>
      <c r="B159" s="2" t="s">
        <v>10</v>
      </c>
      <c r="C159" s="2">
        <v>139</v>
      </c>
      <c r="D159" s="2">
        <v>13</v>
      </c>
      <c r="E159" s="2">
        <v>3</v>
      </c>
      <c r="F159" s="2">
        <v>3</v>
      </c>
      <c r="G159" s="2">
        <v>1878200</v>
      </c>
      <c r="H159" s="2">
        <v>21900</v>
      </c>
      <c r="I159" s="2" t="s">
        <v>42</v>
      </c>
    </row>
    <row r="160" spans="1:9">
      <c r="A160" s="3">
        <v>46082</v>
      </c>
      <c r="B160" s="2" t="s">
        <v>9</v>
      </c>
      <c r="C160" s="2">
        <v>13294</v>
      </c>
      <c r="D160" s="2">
        <v>2</v>
      </c>
      <c r="E160" s="2">
        <v>1</v>
      </c>
      <c r="F160" s="2">
        <v>1</v>
      </c>
      <c r="G160" s="2">
        <v>97341255</v>
      </c>
      <c r="H160" s="2">
        <v>14200</v>
      </c>
      <c r="I160" s="2" t="s">
        <v>37</v>
      </c>
    </row>
    <row r="161" spans="1:9">
      <c r="A161" s="3">
        <v>46082</v>
      </c>
      <c r="B161" s="2" t="s">
        <v>9</v>
      </c>
      <c r="C161" s="2">
        <v>2388</v>
      </c>
      <c r="D161" s="2">
        <v>1</v>
      </c>
      <c r="E161" s="2">
        <v>0</v>
      </c>
      <c r="F161" s="2">
        <v>0</v>
      </c>
      <c r="G161" s="2">
        <v>16237555</v>
      </c>
      <c r="H161" s="2" t="s">
        <v>45</v>
      </c>
      <c r="I161" s="2" t="s">
        <v>38</v>
      </c>
    </row>
    <row r="162" spans="1:9">
      <c r="A162" s="3">
        <v>46023</v>
      </c>
      <c r="B162" s="2" t="s">
        <v>5</v>
      </c>
      <c r="C162" s="2">
        <v>9094</v>
      </c>
      <c r="D162" s="2">
        <v>3732</v>
      </c>
      <c r="E162" s="2">
        <v>3576</v>
      </c>
      <c r="F162" s="2">
        <v>3547</v>
      </c>
      <c r="G162" s="2">
        <v>234907300</v>
      </c>
      <c r="H162" s="2">
        <v>73081500</v>
      </c>
      <c r="I162" s="2" t="s">
        <v>35</v>
      </c>
    </row>
    <row r="163" spans="1:9">
      <c r="A163" s="3">
        <v>45689</v>
      </c>
      <c r="B163" s="2" t="s">
        <v>7</v>
      </c>
      <c r="C163" s="2">
        <v>229028</v>
      </c>
      <c r="D163" s="2">
        <v>1373</v>
      </c>
      <c r="E163" s="2">
        <v>488</v>
      </c>
      <c r="F163" s="2">
        <v>484</v>
      </c>
      <c r="G163" s="2">
        <v>2576340136</v>
      </c>
      <c r="H163" s="2">
        <v>5441968.08</v>
      </c>
      <c r="I163" s="2" t="s">
        <v>40</v>
      </c>
    </row>
    <row r="164" spans="1:9">
      <c r="A164" s="3">
        <v>46054</v>
      </c>
      <c r="B164" s="2" t="s">
        <v>5</v>
      </c>
      <c r="C164" s="2">
        <v>5756</v>
      </c>
      <c r="D164" s="2">
        <v>2359</v>
      </c>
      <c r="E164" s="2">
        <v>2311</v>
      </c>
      <c r="F164" s="2">
        <v>2297</v>
      </c>
      <c r="G164" s="2">
        <v>114479400</v>
      </c>
      <c r="H164" s="2">
        <v>49252900</v>
      </c>
      <c r="I164" s="2" t="s">
        <v>43</v>
      </c>
    </row>
    <row r="165" spans="1:9">
      <c r="A165" s="3">
        <v>46023</v>
      </c>
      <c r="B165" s="2" t="s">
        <v>5</v>
      </c>
      <c r="C165" s="2">
        <v>16478</v>
      </c>
      <c r="D165" s="2">
        <v>9375</v>
      </c>
      <c r="E165" s="2">
        <v>8872</v>
      </c>
      <c r="F165" s="2">
        <v>8839</v>
      </c>
      <c r="G165" s="2">
        <v>192952300</v>
      </c>
      <c r="H165" s="2">
        <v>75976400</v>
      </c>
      <c r="I165" s="2" t="s">
        <v>37</v>
      </c>
    </row>
    <row r="166" spans="1:9">
      <c r="A166" s="3">
        <v>45748</v>
      </c>
      <c r="B166" s="2" t="s">
        <v>8</v>
      </c>
      <c r="C166" s="2">
        <v>7054</v>
      </c>
      <c r="D166" s="2">
        <v>1076</v>
      </c>
      <c r="E166" s="2">
        <v>888</v>
      </c>
      <c r="F166" s="2">
        <v>879</v>
      </c>
      <c r="G166" s="2">
        <v>60150490</v>
      </c>
      <c r="H166" s="2">
        <v>7170409.4</v>
      </c>
      <c r="I166" s="2" t="s">
        <v>36</v>
      </c>
    </row>
    <row r="167" spans="1:9">
      <c r="A167" s="3">
        <v>45778</v>
      </c>
      <c r="B167" s="2" t="s">
        <v>7</v>
      </c>
      <c r="C167" s="2">
        <v>167007</v>
      </c>
      <c r="D167" s="2">
        <v>706</v>
      </c>
      <c r="E167" s="2">
        <v>291</v>
      </c>
      <c r="F167" s="2">
        <v>290</v>
      </c>
      <c r="G167" s="2">
        <v>3231304359</v>
      </c>
      <c r="H167" s="2">
        <v>3333047.9</v>
      </c>
      <c r="I167" s="2" t="s">
        <v>36</v>
      </c>
    </row>
    <row r="168" spans="1:9">
      <c r="A168" s="3">
        <v>46054</v>
      </c>
      <c r="B168" s="2" t="s">
        <v>7</v>
      </c>
      <c r="C168" s="2">
        <v>129855</v>
      </c>
      <c r="D168" s="2">
        <v>146</v>
      </c>
      <c r="E168" s="2">
        <v>60</v>
      </c>
      <c r="F168" s="2">
        <v>59</v>
      </c>
      <c r="G168" s="2">
        <v>1776078802</v>
      </c>
      <c r="H168" s="2">
        <v>542400</v>
      </c>
      <c r="I168" s="2" t="s">
        <v>38</v>
      </c>
    </row>
    <row r="169" spans="1:9">
      <c r="A169" s="3">
        <v>45962</v>
      </c>
      <c r="B169" s="2" t="s">
        <v>8</v>
      </c>
      <c r="C169" s="2">
        <v>3513</v>
      </c>
      <c r="D169" s="2">
        <v>503</v>
      </c>
      <c r="E169" s="2">
        <v>431</v>
      </c>
      <c r="F169" s="2">
        <v>423</v>
      </c>
      <c r="G169" s="2">
        <v>27341595</v>
      </c>
      <c r="H169" s="2">
        <v>2960900</v>
      </c>
      <c r="I169" s="2" t="s">
        <v>42</v>
      </c>
    </row>
    <row r="170" spans="1:9">
      <c r="A170" s="3">
        <v>45870</v>
      </c>
      <c r="B170" s="2" t="s">
        <v>9</v>
      </c>
      <c r="C170" s="2">
        <v>5994</v>
      </c>
      <c r="D170" s="2">
        <v>142</v>
      </c>
      <c r="E170" s="2">
        <v>92</v>
      </c>
      <c r="F170" s="2">
        <v>91</v>
      </c>
      <c r="G170" s="2">
        <v>52921140</v>
      </c>
      <c r="H170" s="2">
        <v>956920</v>
      </c>
      <c r="I170" s="2" t="s">
        <v>35</v>
      </c>
    </row>
    <row r="171" spans="1:9">
      <c r="A171" s="3">
        <v>45870</v>
      </c>
      <c r="B171" s="2" t="s">
        <v>8</v>
      </c>
      <c r="C171" s="2">
        <v>2756</v>
      </c>
      <c r="D171" s="2">
        <v>257</v>
      </c>
      <c r="E171" s="2">
        <v>203</v>
      </c>
      <c r="F171" s="2">
        <v>202</v>
      </c>
      <c r="G171" s="2">
        <v>20858355</v>
      </c>
      <c r="H171" s="2">
        <v>1308306.01</v>
      </c>
      <c r="I171" s="2" t="s">
        <v>42</v>
      </c>
    </row>
    <row r="172" spans="1:9">
      <c r="A172" s="3">
        <v>45748</v>
      </c>
      <c r="B172" s="2" t="s">
        <v>7</v>
      </c>
      <c r="C172" s="2">
        <v>634112</v>
      </c>
      <c r="D172" s="2">
        <v>4265</v>
      </c>
      <c r="E172" s="2">
        <v>1990</v>
      </c>
      <c r="F172" s="2">
        <v>1975</v>
      </c>
      <c r="G172" s="2">
        <v>11565590939</v>
      </c>
      <c r="H172" s="2">
        <v>27601574.68</v>
      </c>
      <c r="I172" s="2" t="s">
        <v>43</v>
      </c>
    </row>
    <row r="173" spans="1:9">
      <c r="A173" s="3">
        <v>45717</v>
      </c>
      <c r="B173" s="2" t="s">
        <v>7</v>
      </c>
      <c r="C173" s="2">
        <v>614491</v>
      </c>
      <c r="D173" s="2">
        <v>4275</v>
      </c>
      <c r="E173" s="2">
        <v>2303</v>
      </c>
      <c r="F173" s="2">
        <v>2291</v>
      </c>
      <c r="G173" s="2">
        <v>13992714421</v>
      </c>
      <c r="H173" s="2">
        <v>38470969.4</v>
      </c>
      <c r="I173" s="2" t="s">
        <v>35</v>
      </c>
    </row>
    <row r="174" spans="1:9">
      <c r="A174" s="3">
        <v>45962</v>
      </c>
      <c r="B174" s="2" t="s">
        <v>7</v>
      </c>
      <c r="C174" s="2">
        <v>259419</v>
      </c>
      <c r="D174" s="2">
        <v>1113</v>
      </c>
      <c r="E174" s="2">
        <v>624</v>
      </c>
      <c r="F174" s="2">
        <v>612</v>
      </c>
      <c r="G174" s="2">
        <v>3216316421</v>
      </c>
      <c r="H174" s="2">
        <v>7929400</v>
      </c>
      <c r="I174" s="2" t="s">
        <v>40</v>
      </c>
    </row>
    <row r="175" spans="1:9">
      <c r="A175" s="3">
        <v>45748</v>
      </c>
      <c r="B175" s="2" t="s">
        <v>7</v>
      </c>
      <c r="C175" s="2">
        <v>630608</v>
      </c>
      <c r="D175" s="2">
        <v>4755</v>
      </c>
      <c r="E175" s="2">
        <v>2668</v>
      </c>
      <c r="F175" s="2">
        <v>2662</v>
      </c>
      <c r="G175" s="2">
        <v>14499270811</v>
      </c>
      <c r="H175" s="2">
        <v>43584937.95</v>
      </c>
      <c r="I175" s="2" t="s">
        <v>35</v>
      </c>
    </row>
    <row r="176" spans="1:9">
      <c r="A176" s="3">
        <v>45717</v>
      </c>
      <c r="B176" s="2" t="s">
        <v>7</v>
      </c>
      <c r="C176" s="2">
        <v>5483</v>
      </c>
      <c r="D176" s="2">
        <v>39</v>
      </c>
      <c r="E176" s="2">
        <v>13</v>
      </c>
      <c r="F176" s="2">
        <v>13</v>
      </c>
      <c r="G176" s="2">
        <v>67185445</v>
      </c>
      <c r="H176" s="2">
        <v>121325</v>
      </c>
      <c r="I176" s="2" t="s">
        <v>42</v>
      </c>
    </row>
    <row r="177" spans="1:9">
      <c r="A177" s="3">
        <v>45689</v>
      </c>
      <c r="B177" s="2" t="s">
        <v>6</v>
      </c>
      <c r="C177" s="2">
        <v>5178</v>
      </c>
      <c r="D177" s="2">
        <v>2257</v>
      </c>
      <c r="E177" s="2">
        <v>2116</v>
      </c>
      <c r="F177" s="2">
        <v>2091</v>
      </c>
      <c r="G177" s="2">
        <v>119227095</v>
      </c>
      <c r="H177" s="2">
        <v>32895707.02</v>
      </c>
      <c r="I177" s="2" t="s">
        <v>41</v>
      </c>
    </row>
    <row r="178" spans="1:9">
      <c r="A178" s="3">
        <v>45962</v>
      </c>
      <c r="B178" s="2" t="s">
        <v>8</v>
      </c>
      <c r="C178" s="2">
        <v>11658</v>
      </c>
      <c r="D178" s="2">
        <v>1553</v>
      </c>
      <c r="E178" s="2">
        <v>1283</v>
      </c>
      <c r="F178" s="2">
        <v>1261</v>
      </c>
      <c r="G178" s="2">
        <v>77846990</v>
      </c>
      <c r="H178" s="2">
        <v>7632800</v>
      </c>
      <c r="I178" s="2" t="s">
        <v>40</v>
      </c>
    </row>
    <row r="179" spans="1:9">
      <c r="A179" s="3">
        <v>45809</v>
      </c>
      <c r="B179" s="2" t="s">
        <v>5</v>
      </c>
      <c r="C179" s="2">
        <v>8781</v>
      </c>
      <c r="D179" s="2">
        <v>5214</v>
      </c>
      <c r="E179" s="2">
        <v>4839</v>
      </c>
      <c r="F179" s="2">
        <v>4751</v>
      </c>
      <c r="G179" s="2">
        <v>157780710</v>
      </c>
      <c r="H179" s="2">
        <v>61419115</v>
      </c>
      <c r="I179" s="2" t="s">
        <v>40</v>
      </c>
    </row>
    <row r="180" spans="1:9">
      <c r="A180" s="3">
        <v>45931</v>
      </c>
      <c r="B180" s="2" t="s">
        <v>7</v>
      </c>
      <c r="C180" s="2">
        <v>5990</v>
      </c>
      <c r="D180" s="2">
        <v>54</v>
      </c>
      <c r="E180" s="2">
        <v>17</v>
      </c>
      <c r="F180" s="2">
        <v>17</v>
      </c>
      <c r="G180" s="2">
        <v>77296850</v>
      </c>
      <c r="H180" s="2">
        <v>284900</v>
      </c>
      <c r="I180" s="2" t="s">
        <v>42</v>
      </c>
    </row>
    <row r="181" spans="1:9">
      <c r="A181" s="3">
        <v>45839</v>
      </c>
      <c r="B181" s="2" t="s">
        <v>6</v>
      </c>
      <c r="C181" s="2">
        <v>6442</v>
      </c>
      <c r="D181" s="2">
        <v>2951</v>
      </c>
      <c r="E181" s="2">
        <v>2823</v>
      </c>
      <c r="F181" s="2">
        <v>2792</v>
      </c>
      <c r="G181" s="2">
        <v>174968795</v>
      </c>
      <c r="H181" s="2">
        <v>48643784.04</v>
      </c>
      <c r="I181" s="2" t="s">
        <v>41</v>
      </c>
    </row>
    <row r="182" spans="1:9">
      <c r="A182" s="3">
        <v>45992</v>
      </c>
      <c r="B182" s="2" t="s">
        <v>5</v>
      </c>
      <c r="C182" s="2">
        <v>11493</v>
      </c>
      <c r="D182" s="2">
        <v>4828</v>
      </c>
      <c r="E182" s="2">
        <v>4657</v>
      </c>
      <c r="F182" s="2">
        <v>4649</v>
      </c>
      <c r="G182" s="2">
        <v>211302200</v>
      </c>
      <c r="H182" s="2">
        <v>76161000</v>
      </c>
      <c r="I182" s="2" t="s">
        <v>43</v>
      </c>
    </row>
    <row r="183" spans="1:9">
      <c r="A183" s="3">
        <v>45992</v>
      </c>
      <c r="B183" s="2" t="s">
        <v>8</v>
      </c>
      <c r="C183" s="2">
        <v>49411</v>
      </c>
      <c r="D183" s="2">
        <v>2448</v>
      </c>
      <c r="E183" s="2">
        <v>1804</v>
      </c>
      <c r="F183" s="2">
        <v>1762</v>
      </c>
      <c r="G183" s="2">
        <v>436145855</v>
      </c>
      <c r="H183" s="2">
        <v>14019800</v>
      </c>
      <c r="I183" s="2" t="s">
        <v>43</v>
      </c>
    </row>
    <row r="184" spans="1:9">
      <c r="A184" s="3">
        <v>45717</v>
      </c>
      <c r="B184" s="2" t="s">
        <v>8</v>
      </c>
      <c r="C184" s="2">
        <v>55957</v>
      </c>
      <c r="D184" s="2">
        <v>12577</v>
      </c>
      <c r="E184" s="2">
        <v>10413</v>
      </c>
      <c r="F184" s="2">
        <v>10100</v>
      </c>
      <c r="G184" s="2">
        <v>410627115</v>
      </c>
      <c r="H184" s="2">
        <v>70344561.02</v>
      </c>
      <c r="I184" s="2" t="s">
        <v>37</v>
      </c>
    </row>
    <row r="185" spans="1:9">
      <c r="A185" s="3">
        <v>46082</v>
      </c>
      <c r="B185" s="2" t="s">
        <v>8</v>
      </c>
      <c r="C185" s="2">
        <v>16236</v>
      </c>
      <c r="D185" s="2">
        <v>62</v>
      </c>
      <c r="E185" s="2">
        <v>33</v>
      </c>
      <c r="F185" s="2">
        <v>32</v>
      </c>
      <c r="G185" s="2">
        <v>118099805</v>
      </c>
      <c r="H185" s="2">
        <v>198100</v>
      </c>
      <c r="I185" s="2" t="s">
        <v>38</v>
      </c>
    </row>
    <row r="186" spans="1:9">
      <c r="A186" s="3">
        <v>45717</v>
      </c>
      <c r="B186" s="2" t="s">
        <v>5</v>
      </c>
      <c r="C186" s="2">
        <v>6325</v>
      </c>
      <c r="D186" s="2">
        <v>3934</v>
      </c>
      <c r="E186" s="2">
        <v>3386</v>
      </c>
      <c r="F186" s="2">
        <v>3350</v>
      </c>
      <c r="G186" s="2">
        <v>117642075</v>
      </c>
      <c r="H186" s="2">
        <v>41638700</v>
      </c>
      <c r="I186" s="2" t="s">
        <v>40</v>
      </c>
    </row>
    <row r="187" spans="1:9">
      <c r="A187" s="3">
        <v>45962</v>
      </c>
      <c r="B187" s="2" t="s">
        <v>5</v>
      </c>
      <c r="C187" s="2">
        <v>329</v>
      </c>
      <c r="D187" s="2">
        <v>166</v>
      </c>
      <c r="E187" s="2">
        <v>154</v>
      </c>
      <c r="F187" s="2">
        <v>154</v>
      </c>
      <c r="G187" s="2">
        <v>5699400</v>
      </c>
      <c r="H187" s="2">
        <v>2124200</v>
      </c>
      <c r="I187" s="2" t="s">
        <v>36</v>
      </c>
    </row>
    <row r="188" spans="1:9">
      <c r="A188" s="3">
        <v>45962</v>
      </c>
      <c r="B188" s="2" t="s">
        <v>9</v>
      </c>
      <c r="C188" s="2">
        <v>1400</v>
      </c>
      <c r="D188" s="2">
        <v>29</v>
      </c>
      <c r="E188" s="2">
        <v>11</v>
      </c>
      <c r="F188" s="2">
        <v>11</v>
      </c>
      <c r="G188" s="2">
        <v>12297035</v>
      </c>
      <c r="H188" s="2">
        <v>95100</v>
      </c>
      <c r="I188" s="2" t="s">
        <v>36</v>
      </c>
    </row>
    <row r="189" spans="1:9">
      <c r="A189" s="3">
        <v>45839</v>
      </c>
      <c r="B189" s="2" t="s">
        <v>9</v>
      </c>
      <c r="C189" s="2">
        <v>1332</v>
      </c>
      <c r="D189" s="2">
        <v>37</v>
      </c>
      <c r="E189" s="2">
        <v>18</v>
      </c>
      <c r="F189" s="2">
        <v>18</v>
      </c>
      <c r="G189" s="2">
        <v>11395595</v>
      </c>
      <c r="H189" s="2">
        <v>114200</v>
      </c>
      <c r="I189" s="2" t="s">
        <v>36</v>
      </c>
    </row>
    <row r="190" spans="1:9">
      <c r="A190" s="3">
        <v>45689</v>
      </c>
      <c r="B190" s="2" t="s">
        <v>5</v>
      </c>
      <c r="C190" s="2">
        <v>22746</v>
      </c>
      <c r="D190" s="2">
        <v>9323</v>
      </c>
      <c r="E190" s="2">
        <v>8662</v>
      </c>
      <c r="F190" s="2">
        <v>8564</v>
      </c>
      <c r="G190" s="2">
        <v>599778455</v>
      </c>
      <c r="H190" s="2">
        <v>160103180.59</v>
      </c>
      <c r="I190" s="2" t="s">
        <v>35</v>
      </c>
    </row>
    <row r="191" spans="1:9">
      <c r="A191" s="3">
        <v>45870</v>
      </c>
      <c r="B191" s="2" t="s">
        <v>8</v>
      </c>
      <c r="C191" s="2">
        <v>68703</v>
      </c>
      <c r="D191" s="2">
        <v>6305</v>
      </c>
      <c r="E191" s="2">
        <v>4759</v>
      </c>
      <c r="F191" s="2">
        <v>4691</v>
      </c>
      <c r="G191" s="2">
        <v>521209190</v>
      </c>
      <c r="H191" s="2">
        <v>29963736.96</v>
      </c>
      <c r="I191" s="2" t="s">
        <v>37</v>
      </c>
    </row>
    <row r="192" spans="1:9">
      <c r="A192" s="3">
        <v>45839</v>
      </c>
      <c r="B192" s="2" t="s">
        <v>8</v>
      </c>
      <c r="C192" s="2">
        <v>4696</v>
      </c>
      <c r="D192" s="2">
        <v>760</v>
      </c>
      <c r="E192" s="2">
        <v>586</v>
      </c>
      <c r="F192" s="2">
        <v>582</v>
      </c>
      <c r="G192" s="2">
        <v>28456475</v>
      </c>
      <c r="H192" s="2">
        <v>3050111.66</v>
      </c>
      <c r="I192" s="2" t="s">
        <v>44</v>
      </c>
    </row>
    <row r="193" spans="1:9">
      <c r="A193" s="3">
        <v>45717</v>
      </c>
      <c r="B193" s="2" t="s">
        <v>7</v>
      </c>
      <c r="C193" s="2">
        <v>627567</v>
      </c>
      <c r="D193" s="2">
        <v>3928</v>
      </c>
      <c r="E193" s="2">
        <v>1915</v>
      </c>
      <c r="F193" s="2">
        <v>1901</v>
      </c>
      <c r="G193" s="2">
        <v>11421490019</v>
      </c>
      <c r="H193" s="2">
        <v>26025171.59</v>
      </c>
      <c r="I193" s="2" t="s">
        <v>43</v>
      </c>
    </row>
    <row r="194" spans="1:9">
      <c r="A194" s="3">
        <v>45809</v>
      </c>
      <c r="B194" s="2" t="s">
        <v>7</v>
      </c>
      <c r="C194" s="2">
        <v>125471</v>
      </c>
      <c r="D194" s="2">
        <v>600</v>
      </c>
      <c r="E194" s="2">
        <v>252</v>
      </c>
      <c r="F194" s="2">
        <v>248</v>
      </c>
      <c r="G194" s="2">
        <v>1698243882</v>
      </c>
      <c r="H194" s="2">
        <v>1988755.86</v>
      </c>
      <c r="I194" s="2" t="s">
        <v>38</v>
      </c>
    </row>
    <row r="195" spans="1:9">
      <c r="A195" s="3">
        <v>46082</v>
      </c>
      <c r="B195" s="2" t="s">
        <v>6</v>
      </c>
      <c r="C195" s="2">
        <v>16</v>
      </c>
      <c r="D195" s="2">
        <v>8</v>
      </c>
      <c r="E195" s="2">
        <v>8</v>
      </c>
      <c r="F195" s="2">
        <v>8</v>
      </c>
      <c r="G195" s="2">
        <v>136300</v>
      </c>
      <c r="H195" s="2">
        <v>56300</v>
      </c>
      <c r="I195" s="2" t="s">
        <v>38</v>
      </c>
    </row>
    <row r="196" spans="1:9">
      <c r="A196" s="3">
        <v>45962</v>
      </c>
      <c r="B196" s="2" t="s">
        <v>8</v>
      </c>
      <c r="C196" s="2">
        <v>5814</v>
      </c>
      <c r="D196" s="2">
        <v>770</v>
      </c>
      <c r="E196" s="2">
        <v>643</v>
      </c>
      <c r="F196" s="2">
        <v>630</v>
      </c>
      <c r="G196" s="2">
        <v>50960200</v>
      </c>
      <c r="H196" s="2">
        <v>5087000</v>
      </c>
      <c r="I196" s="2" t="s">
        <v>41</v>
      </c>
    </row>
    <row r="197" spans="1:9">
      <c r="A197" s="3">
        <v>45717</v>
      </c>
      <c r="B197" s="2" t="s">
        <v>6</v>
      </c>
      <c r="C197" s="2">
        <v>5972</v>
      </c>
      <c r="D197" s="2">
        <v>3104</v>
      </c>
      <c r="E197" s="2">
        <v>2783</v>
      </c>
      <c r="F197" s="2">
        <v>2764</v>
      </c>
      <c r="G197" s="2">
        <v>108798800</v>
      </c>
      <c r="H197" s="2">
        <v>34441402.28</v>
      </c>
      <c r="I197" s="2" t="s">
        <v>37</v>
      </c>
    </row>
    <row r="198" spans="1:9">
      <c r="A198" s="3">
        <v>46054</v>
      </c>
      <c r="B198" s="2" t="s">
        <v>6</v>
      </c>
      <c r="C198" s="2">
        <v>3176</v>
      </c>
      <c r="D198" s="2">
        <v>1409</v>
      </c>
      <c r="E198" s="2">
        <v>1374</v>
      </c>
      <c r="F198" s="2">
        <v>1368</v>
      </c>
      <c r="G198" s="2">
        <v>43606400</v>
      </c>
      <c r="H198" s="2">
        <v>16385900</v>
      </c>
      <c r="I198" s="2" t="s">
        <v>43</v>
      </c>
    </row>
    <row r="199" spans="1:9">
      <c r="A199" s="3">
        <v>45870</v>
      </c>
      <c r="B199" s="2" t="s">
        <v>5</v>
      </c>
      <c r="C199" s="2">
        <v>14719</v>
      </c>
      <c r="D199" s="2">
        <v>7127</v>
      </c>
      <c r="E199" s="2">
        <v>6935</v>
      </c>
      <c r="F199" s="2">
        <v>6868</v>
      </c>
      <c r="G199" s="2">
        <v>306088905</v>
      </c>
      <c r="H199" s="2">
        <v>119697920</v>
      </c>
      <c r="I199" s="2" t="s">
        <v>43</v>
      </c>
    </row>
    <row r="200" spans="1:9">
      <c r="A200" s="3">
        <v>45992</v>
      </c>
      <c r="B200" s="2" t="s">
        <v>7</v>
      </c>
      <c r="C200" s="2">
        <v>171659</v>
      </c>
      <c r="D200" s="2">
        <v>298</v>
      </c>
      <c r="E200" s="2">
        <v>144</v>
      </c>
      <c r="F200" s="2">
        <v>142</v>
      </c>
      <c r="G200" s="2">
        <v>3331998427</v>
      </c>
      <c r="H200" s="2">
        <v>1800000</v>
      </c>
      <c r="I200" s="2" t="s">
        <v>36</v>
      </c>
    </row>
    <row r="201" spans="1:9">
      <c r="A201" s="3">
        <v>45962</v>
      </c>
      <c r="B201" s="2" t="s">
        <v>7</v>
      </c>
      <c r="C201" s="2">
        <v>171317</v>
      </c>
      <c r="D201" s="2">
        <v>403</v>
      </c>
      <c r="E201" s="2">
        <v>202</v>
      </c>
      <c r="F201" s="2">
        <v>199</v>
      </c>
      <c r="G201" s="2">
        <v>3326636972</v>
      </c>
      <c r="H201" s="2">
        <v>2780300</v>
      </c>
      <c r="I201" s="2" t="s">
        <v>36</v>
      </c>
    </row>
    <row r="202" spans="1:9">
      <c r="A202" s="3">
        <v>45962</v>
      </c>
      <c r="B202" s="2" t="s">
        <v>5</v>
      </c>
      <c r="C202" s="2">
        <v>14612</v>
      </c>
      <c r="D202" s="2">
        <v>6142</v>
      </c>
      <c r="E202" s="2">
        <v>5942</v>
      </c>
      <c r="F202" s="2">
        <v>5929</v>
      </c>
      <c r="G202" s="2">
        <v>263619900</v>
      </c>
      <c r="H202" s="2">
        <v>96871900</v>
      </c>
      <c r="I202" s="2" t="s">
        <v>43</v>
      </c>
    </row>
    <row r="203" spans="1:9">
      <c r="A203" s="3">
        <v>45962</v>
      </c>
      <c r="B203" s="2" t="s">
        <v>6</v>
      </c>
      <c r="C203" s="2">
        <v>605</v>
      </c>
      <c r="D203" s="2">
        <v>272</v>
      </c>
      <c r="E203" s="2">
        <v>240</v>
      </c>
      <c r="F203" s="2">
        <v>239</v>
      </c>
      <c r="G203" s="2">
        <v>9970400</v>
      </c>
      <c r="H203" s="2">
        <v>3327600</v>
      </c>
      <c r="I203" s="2" t="s">
        <v>36</v>
      </c>
    </row>
    <row r="204" spans="1:9">
      <c r="A204" s="3">
        <v>45809</v>
      </c>
      <c r="B204" s="2" t="s">
        <v>7</v>
      </c>
      <c r="C204" s="2">
        <v>662931</v>
      </c>
      <c r="D204" s="2">
        <v>4519</v>
      </c>
      <c r="E204" s="2">
        <v>2767</v>
      </c>
      <c r="F204" s="2">
        <v>2752</v>
      </c>
      <c r="G204" s="2">
        <v>15544600381</v>
      </c>
      <c r="H204" s="2">
        <v>44114171.86</v>
      </c>
      <c r="I204" s="2" t="s">
        <v>35</v>
      </c>
    </row>
    <row r="205" spans="1:9">
      <c r="A205" s="3">
        <v>45689</v>
      </c>
      <c r="B205" s="2" t="s">
        <v>6</v>
      </c>
      <c r="C205" s="2">
        <v>136</v>
      </c>
      <c r="D205" s="2">
        <v>59</v>
      </c>
      <c r="E205" s="2">
        <v>44</v>
      </c>
      <c r="F205" s="2">
        <v>44</v>
      </c>
      <c r="G205" s="2">
        <v>1700135</v>
      </c>
      <c r="H205" s="2">
        <v>387620</v>
      </c>
      <c r="I205" s="2" t="s">
        <v>39</v>
      </c>
    </row>
    <row r="206" spans="1:9">
      <c r="A206" s="3">
        <v>45901</v>
      </c>
      <c r="B206" s="2" t="s">
        <v>5</v>
      </c>
      <c r="C206" s="2">
        <v>17622</v>
      </c>
      <c r="D206" s="2">
        <v>8719</v>
      </c>
      <c r="E206" s="2">
        <v>8248</v>
      </c>
      <c r="F206" s="2">
        <v>8154</v>
      </c>
      <c r="G206" s="2">
        <v>383148200</v>
      </c>
      <c r="H206" s="2">
        <v>153876800</v>
      </c>
      <c r="I206" s="2" t="s">
        <v>43</v>
      </c>
    </row>
    <row r="207" spans="1:9">
      <c r="A207" s="3">
        <v>45658</v>
      </c>
      <c r="B207" s="2" t="s">
        <v>8</v>
      </c>
      <c r="C207" s="2">
        <v>28450</v>
      </c>
      <c r="D207" s="2">
        <v>5213</v>
      </c>
      <c r="E207" s="2">
        <v>4219</v>
      </c>
      <c r="F207" s="2">
        <v>4206</v>
      </c>
      <c r="G207" s="2">
        <v>219942470</v>
      </c>
      <c r="H207" s="2">
        <v>32545921.51</v>
      </c>
      <c r="I207" s="2" t="s">
        <v>43</v>
      </c>
    </row>
    <row r="208" spans="1:9">
      <c r="A208" s="3">
        <v>45809</v>
      </c>
      <c r="B208" s="2" t="s">
        <v>9</v>
      </c>
      <c r="C208" s="2">
        <v>5849</v>
      </c>
      <c r="D208" s="2">
        <v>165</v>
      </c>
      <c r="E208" s="2">
        <v>103</v>
      </c>
      <c r="F208" s="2">
        <v>100</v>
      </c>
      <c r="G208" s="2">
        <v>50690140</v>
      </c>
      <c r="H208" s="2">
        <v>883180</v>
      </c>
      <c r="I208" s="2" t="s">
        <v>35</v>
      </c>
    </row>
    <row r="209" spans="1:9">
      <c r="A209" s="3">
        <v>46082</v>
      </c>
      <c r="B209" s="2" t="s">
        <v>6</v>
      </c>
      <c r="C209" s="2">
        <v>61</v>
      </c>
      <c r="D209" s="2">
        <v>27</v>
      </c>
      <c r="E209" s="2">
        <v>23</v>
      </c>
      <c r="F209" s="2">
        <v>23</v>
      </c>
      <c r="G209" s="2">
        <v>668600</v>
      </c>
      <c r="H209" s="2">
        <v>174700</v>
      </c>
      <c r="I209" s="2" t="s">
        <v>40</v>
      </c>
    </row>
    <row r="210" spans="1:9">
      <c r="A210" s="3">
        <v>45931</v>
      </c>
      <c r="B210" s="2" t="s">
        <v>7</v>
      </c>
      <c r="C210" s="2">
        <v>690767</v>
      </c>
      <c r="D210" s="2">
        <v>3204</v>
      </c>
      <c r="E210" s="2">
        <v>1900</v>
      </c>
      <c r="F210" s="2">
        <v>1877</v>
      </c>
      <c r="G210" s="2">
        <v>12790238949</v>
      </c>
      <c r="H210" s="2">
        <v>28534769.37</v>
      </c>
      <c r="I210" s="2" t="s">
        <v>43</v>
      </c>
    </row>
    <row r="211" spans="1:9">
      <c r="A211" s="3">
        <v>45901</v>
      </c>
      <c r="B211" s="2" t="s">
        <v>8</v>
      </c>
      <c r="C211" s="2">
        <v>8039</v>
      </c>
      <c r="D211" s="2">
        <v>638</v>
      </c>
      <c r="E211" s="2">
        <v>465</v>
      </c>
      <c r="F211" s="2">
        <v>461</v>
      </c>
      <c r="G211" s="2">
        <v>68727605</v>
      </c>
      <c r="H211" s="2">
        <v>3095003.51</v>
      </c>
      <c r="I211" s="2" t="s">
        <v>36</v>
      </c>
    </row>
    <row r="212" spans="1:9">
      <c r="A212" s="3">
        <v>45717</v>
      </c>
      <c r="B212" s="2" t="s">
        <v>6</v>
      </c>
      <c r="C212" s="2">
        <v>850</v>
      </c>
      <c r="D212" s="2">
        <v>487</v>
      </c>
      <c r="E212" s="2">
        <v>428</v>
      </c>
      <c r="F212" s="2">
        <v>425</v>
      </c>
      <c r="G212" s="2">
        <v>13219865</v>
      </c>
      <c r="H212" s="2">
        <v>4430125.65</v>
      </c>
      <c r="I212" s="2" t="s">
        <v>40</v>
      </c>
    </row>
    <row r="213" spans="1:9">
      <c r="A213" s="3">
        <v>45931</v>
      </c>
      <c r="B213" s="2" t="s">
        <v>9</v>
      </c>
      <c r="C213" s="2">
        <v>13300</v>
      </c>
      <c r="D213" s="2">
        <v>328</v>
      </c>
      <c r="E213" s="2">
        <v>162</v>
      </c>
      <c r="F213" s="2">
        <v>161</v>
      </c>
      <c r="G213" s="2">
        <v>97129685</v>
      </c>
      <c r="H213" s="2">
        <v>1687300</v>
      </c>
      <c r="I213" s="2" t="s">
        <v>37</v>
      </c>
    </row>
    <row r="214" spans="1:9">
      <c r="A214" s="3">
        <v>45901</v>
      </c>
      <c r="B214" s="2" t="s">
        <v>6</v>
      </c>
      <c r="C214" s="2">
        <v>6831</v>
      </c>
      <c r="D214" s="2">
        <v>3577</v>
      </c>
      <c r="E214" s="2">
        <v>3212</v>
      </c>
      <c r="F214" s="2">
        <v>3173</v>
      </c>
      <c r="G214" s="2">
        <v>170648500</v>
      </c>
      <c r="H214" s="2">
        <v>61383061.25</v>
      </c>
      <c r="I214" s="2" t="s">
        <v>35</v>
      </c>
    </row>
    <row r="215" spans="1:9">
      <c r="A215" s="3">
        <v>45992</v>
      </c>
      <c r="B215" s="2" t="s">
        <v>5</v>
      </c>
      <c r="C215" s="2">
        <v>394</v>
      </c>
      <c r="D215" s="2">
        <v>177</v>
      </c>
      <c r="E215" s="2">
        <v>170</v>
      </c>
      <c r="F215" s="2">
        <v>170</v>
      </c>
      <c r="G215" s="2">
        <v>6802800</v>
      </c>
      <c r="H215" s="2">
        <v>2851100</v>
      </c>
      <c r="I215" s="2" t="s">
        <v>36</v>
      </c>
    </row>
    <row r="216" spans="1:9">
      <c r="A216" s="3">
        <v>45809</v>
      </c>
      <c r="B216" s="2" t="s">
        <v>5</v>
      </c>
      <c r="C216" s="2">
        <v>534</v>
      </c>
      <c r="D216" s="2">
        <v>229</v>
      </c>
      <c r="E216" s="2">
        <v>211</v>
      </c>
      <c r="F216" s="2">
        <v>195</v>
      </c>
      <c r="G216" s="2">
        <v>8451020</v>
      </c>
      <c r="H216" s="2">
        <v>2019750</v>
      </c>
      <c r="I216" s="2" t="s">
        <v>39</v>
      </c>
    </row>
    <row r="217" spans="1:9">
      <c r="A217" s="3">
        <v>45809</v>
      </c>
      <c r="B217" s="2" t="s">
        <v>7</v>
      </c>
      <c r="C217" s="2">
        <v>167462</v>
      </c>
      <c r="D217" s="2">
        <v>682</v>
      </c>
      <c r="E217" s="2">
        <v>314</v>
      </c>
      <c r="F217" s="2">
        <v>315</v>
      </c>
      <c r="G217" s="2">
        <v>3241437939</v>
      </c>
      <c r="H217" s="2">
        <v>3349784.9</v>
      </c>
      <c r="I217" s="2" t="s">
        <v>36</v>
      </c>
    </row>
    <row r="218" spans="1:9">
      <c r="A218" s="3">
        <v>45901</v>
      </c>
      <c r="B218" s="2" t="s">
        <v>10</v>
      </c>
      <c r="C218" s="2">
        <v>265212</v>
      </c>
      <c r="D218" s="2">
        <v>13140</v>
      </c>
      <c r="E218" s="2">
        <v>3796</v>
      </c>
      <c r="F218" s="2">
        <v>3777</v>
      </c>
      <c r="G218" s="2">
        <v>2069397792</v>
      </c>
      <c r="H218" s="2">
        <v>23357664.99</v>
      </c>
      <c r="I218" s="2" t="s">
        <v>44</v>
      </c>
    </row>
    <row r="219" spans="1:9">
      <c r="A219" s="3">
        <v>46082</v>
      </c>
      <c r="B219" s="2" t="s">
        <v>9</v>
      </c>
      <c r="C219" s="2">
        <v>9910</v>
      </c>
      <c r="D219" s="2">
        <v>1</v>
      </c>
      <c r="E219" s="2">
        <v>0</v>
      </c>
      <c r="F219" s="2">
        <v>0</v>
      </c>
      <c r="G219" s="2">
        <v>49028680</v>
      </c>
      <c r="H219" s="2" t="s">
        <v>45</v>
      </c>
      <c r="I219" s="2" t="s">
        <v>44</v>
      </c>
    </row>
    <row r="220" spans="1:9">
      <c r="A220" s="3">
        <v>45992</v>
      </c>
      <c r="B220" s="2" t="s">
        <v>6</v>
      </c>
      <c r="C220" s="2">
        <v>6199</v>
      </c>
      <c r="D220" s="2">
        <v>2704</v>
      </c>
      <c r="E220" s="2">
        <v>2573</v>
      </c>
      <c r="F220" s="2">
        <v>2562</v>
      </c>
      <c r="G220" s="2">
        <v>141497400</v>
      </c>
      <c r="H220" s="2">
        <v>40126400</v>
      </c>
      <c r="I220" s="2" t="s">
        <v>41</v>
      </c>
    </row>
    <row r="221" spans="1:9">
      <c r="A221" s="3">
        <v>45992</v>
      </c>
      <c r="B221" s="2" t="s">
        <v>6</v>
      </c>
      <c r="C221" s="2">
        <v>104</v>
      </c>
      <c r="D221" s="2">
        <v>46</v>
      </c>
      <c r="E221" s="2">
        <v>40</v>
      </c>
      <c r="F221" s="2">
        <v>40</v>
      </c>
      <c r="G221" s="2">
        <v>919100</v>
      </c>
      <c r="H221" s="2">
        <v>198400</v>
      </c>
      <c r="I221" s="2" t="s">
        <v>42</v>
      </c>
    </row>
    <row r="222" spans="1:9">
      <c r="A222" s="3">
        <v>45962</v>
      </c>
      <c r="B222" s="2" t="s">
        <v>9</v>
      </c>
      <c r="C222" s="2">
        <v>380</v>
      </c>
      <c r="D222" s="2">
        <v>7</v>
      </c>
      <c r="E222" s="2">
        <v>3</v>
      </c>
      <c r="F222" s="2">
        <v>3</v>
      </c>
      <c r="G222" s="2">
        <v>2967165</v>
      </c>
      <c r="H222" s="2">
        <v>23000</v>
      </c>
      <c r="I222" s="2" t="s">
        <v>42</v>
      </c>
    </row>
    <row r="223" spans="1:9">
      <c r="A223" s="3">
        <v>46054</v>
      </c>
      <c r="B223" s="2" t="s">
        <v>7</v>
      </c>
      <c r="C223" s="2">
        <v>803264</v>
      </c>
      <c r="D223" s="2">
        <v>1897</v>
      </c>
      <c r="E223" s="2">
        <v>1074</v>
      </c>
      <c r="F223" s="2">
        <v>1083</v>
      </c>
      <c r="G223" s="2">
        <v>11919927569</v>
      </c>
      <c r="H223" s="2">
        <v>13198500</v>
      </c>
      <c r="I223" s="2" t="s">
        <v>37</v>
      </c>
    </row>
    <row r="224" spans="1:9">
      <c r="A224" s="3">
        <v>45809</v>
      </c>
      <c r="B224" s="2" t="s">
        <v>6</v>
      </c>
      <c r="C224" s="2">
        <v>173</v>
      </c>
      <c r="D224" s="2">
        <v>85</v>
      </c>
      <c r="E224" s="2">
        <v>77</v>
      </c>
      <c r="F224" s="2">
        <v>75</v>
      </c>
      <c r="G224" s="2">
        <v>2754335</v>
      </c>
      <c r="H224" s="2">
        <v>951975</v>
      </c>
      <c r="I224" s="2" t="s">
        <v>42</v>
      </c>
    </row>
    <row r="225" spans="1:9">
      <c r="A225" s="3">
        <v>45689</v>
      </c>
      <c r="B225" s="2" t="s">
        <v>5</v>
      </c>
      <c r="C225" s="2">
        <v>757</v>
      </c>
      <c r="D225" s="2">
        <v>518</v>
      </c>
      <c r="E225" s="2">
        <v>431</v>
      </c>
      <c r="F225" s="2">
        <v>423</v>
      </c>
      <c r="G225" s="2">
        <v>10871200</v>
      </c>
      <c r="H225" s="2">
        <v>4057345</v>
      </c>
      <c r="I225" s="2" t="s">
        <v>39</v>
      </c>
    </row>
    <row r="226" spans="1:9">
      <c r="A226" s="3">
        <v>46023</v>
      </c>
      <c r="B226" s="2" t="s">
        <v>7</v>
      </c>
      <c r="C226" s="2">
        <v>6164</v>
      </c>
      <c r="D226" s="2">
        <v>19</v>
      </c>
      <c r="E226" s="2">
        <v>7</v>
      </c>
      <c r="F226" s="2">
        <v>7</v>
      </c>
      <c r="G226" s="2">
        <v>80070730</v>
      </c>
      <c r="H226" s="2">
        <v>94500</v>
      </c>
      <c r="I226" s="2" t="s">
        <v>42</v>
      </c>
    </row>
    <row r="227" spans="1:9">
      <c r="A227" s="3">
        <v>45839</v>
      </c>
      <c r="B227" s="2" t="s">
        <v>9</v>
      </c>
      <c r="C227" s="2">
        <v>371</v>
      </c>
      <c r="D227" s="2">
        <v>13</v>
      </c>
      <c r="E227" s="2">
        <v>9</v>
      </c>
      <c r="F227" s="2">
        <v>9</v>
      </c>
      <c r="G227" s="2">
        <v>2984090</v>
      </c>
      <c r="H227" s="2">
        <v>79740</v>
      </c>
      <c r="I227" s="2" t="s">
        <v>42</v>
      </c>
    </row>
    <row r="228" spans="1:9">
      <c r="A228" s="3">
        <v>45809</v>
      </c>
      <c r="B228" s="2" t="s">
        <v>6</v>
      </c>
      <c r="C228" s="2">
        <v>700</v>
      </c>
      <c r="D228" s="2">
        <v>341</v>
      </c>
      <c r="E228" s="2">
        <v>292</v>
      </c>
      <c r="F228" s="2">
        <v>291</v>
      </c>
      <c r="G228" s="2">
        <v>9929245</v>
      </c>
      <c r="H228" s="2">
        <v>2815200.16</v>
      </c>
      <c r="I228" s="2" t="s">
        <v>38</v>
      </c>
    </row>
    <row r="229" spans="1:9">
      <c r="A229" s="3">
        <v>45748</v>
      </c>
      <c r="B229" s="2" t="s">
        <v>9</v>
      </c>
      <c r="C229" s="2">
        <v>5954</v>
      </c>
      <c r="D229" s="2">
        <v>489</v>
      </c>
      <c r="E229" s="2">
        <v>150</v>
      </c>
      <c r="F229" s="2">
        <v>151</v>
      </c>
      <c r="G229" s="2">
        <v>31336370</v>
      </c>
      <c r="H229" s="2">
        <v>471600</v>
      </c>
      <c r="I229" s="2" t="s">
        <v>44</v>
      </c>
    </row>
    <row r="230" spans="1:9">
      <c r="A230" s="3">
        <v>45931</v>
      </c>
      <c r="B230" s="2" t="s">
        <v>9</v>
      </c>
      <c r="C230" s="2">
        <v>1026</v>
      </c>
      <c r="D230" s="2">
        <v>12</v>
      </c>
      <c r="E230" s="2">
        <v>9</v>
      </c>
      <c r="F230" s="2">
        <v>9</v>
      </c>
      <c r="G230" s="2">
        <v>7611490</v>
      </c>
      <c r="H230" s="2">
        <v>52700</v>
      </c>
      <c r="I230" s="2" t="s">
        <v>39</v>
      </c>
    </row>
    <row r="231" spans="1:9">
      <c r="A231" s="3">
        <v>45778</v>
      </c>
      <c r="B231" s="2" t="s">
        <v>7</v>
      </c>
      <c r="C231" s="2">
        <v>237508</v>
      </c>
      <c r="D231" s="2">
        <v>1708</v>
      </c>
      <c r="E231" s="2">
        <v>717</v>
      </c>
      <c r="F231" s="2">
        <v>734</v>
      </c>
      <c r="G231" s="2">
        <v>2757064506</v>
      </c>
      <c r="H231" s="2">
        <v>8204188.64</v>
      </c>
      <c r="I231" s="2" t="s">
        <v>40</v>
      </c>
    </row>
    <row r="232" spans="1:9">
      <c r="A232" s="3">
        <v>45962</v>
      </c>
      <c r="B232" s="2" t="s">
        <v>7</v>
      </c>
      <c r="C232" s="2">
        <v>6046</v>
      </c>
      <c r="D232" s="2">
        <v>38</v>
      </c>
      <c r="E232" s="2">
        <v>10</v>
      </c>
      <c r="F232" s="2">
        <v>10</v>
      </c>
      <c r="G232" s="2">
        <v>78564050</v>
      </c>
      <c r="H232" s="2">
        <v>170500</v>
      </c>
      <c r="I232" s="2" t="s">
        <v>42</v>
      </c>
    </row>
    <row r="233" spans="1:9">
      <c r="A233" s="3">
        <v>45901</v>
      </c>
      <c r="B233" s="2" t="s">
        <v>42</v>
      </c>
      <c r="C233" s="2">
        <v>4192</v>
      </c>
      <c r="D233" s="2">
        <v>24</v>
      </c>
      <c r="E233" s="2">
        <v>20</v>
      </c>
      <c r="F233" s="2">
        <v>20</v>
      </c>
      <c r="G233" s="2">
        <v>71613905</v>
      </c>
      <c r="H233" s="2">
        <v>256998.55</v>
      </c>
      <c r="I233" s="2" t="s">
        <v>42</v>
      </c>
    </row>
    <row r="234" spans="1:9">
      <c r="A234" s="3">
        <v>45992</v>
      </c>
      <c r="B234" s="2" t="s">
        <v>9</v>
      </c>
      <c r="C234" s="2">
        <v>2979</v>
      </c>
      <c r="D234" s="2">
        <v>37</v>
      </c>
      <c r="E234" s="2">
        <v>20</v>
      </c>
      <c r="F234" s="2">
        <v>20</v>
      </c>
      <c r="G234" s="2">
        <v>23823065</v>
      </c>
      <c r="H234" s="2">
        <v>313700</v>
      </c>
      <c r="I234" s="2" t="s">
        <v>41</v>
      </c>
    </row>
    <row r="235" spans="1:9">
      <c r="A235" s="3">
        <v>45901</v>
      </c>
      <c r="B235" s="2" t="s">
        <v>5</v>
      </c>
      <c r="C235" s="2">
        <v>21135</v>
      </c>
      <c r="D235" s="2">
        <v>9361</v>
      </c>
      <c r="E235" s="2">
        <v>8773</v>
      </c>
      <c r="F235" s="2">
        <v>8640</v>
      </c>
      <c r="G235" s="2">
        <v>662873600</v>
      </c>
      <c r="H235" s="2">
        <v>213130200</v>
      </c>
      <c r="I235" s="2" t="s">
        <v>35</v>
      </c>
    </row>
    <row r="236" spans="1:9">
      <c r="A236" s="3">
        <v>45992</v>
      </c>
      <c r="B236" s="2" t="s">
        <v>6</v>
      </c>
      <c r="C236" s="2">
        <v>4745</v>
      </c>
      <c r="D236" s="2">
        <v>2350</v>
      </c>
      <c r="E236" s="2">
        <v>2104</v>
      </c>
      <c r="F236" s="2">
        <v>2090</v>
      </c>
      <c r="G236" s="2">
        <v>63727500</v>
      </c>
      <c r="H236" s="2">
        <v>20687000</v>
      </c>
      <c r="I236" s="2" t="s">
        <v>37</v>
      </c>
    </row>
    <row r="237" spans="1:9">
      <c r="A237" s="3">
        <v>45778</v>
      </c>
      <c r="B237" s="2" t="s">
        <v>9</v>
      </c>
      <c r="C237" s="2">
        <v>7108</v>
      </c>
      <c r="D237" s="2">
        <v>613</v>
      </c>
      <c r="E237" s="2">
        <v>144</v>
      </c>
      <c r="F237" s="2">
        <v>144</v>
      </c>
      <c r="G237" s="2">
        <v>36472750</v>
      </c>
      <c r="H237" s="2">
        <v>510450</v>
      </c>
      <c r="I237" s="2" t="s">
        <v>44</v>
      </c>
    </row>
    <row r="238" spans="1:9">
      <c r="A238" s="3">
        <v>46082</v>
      </c>
      <c r="B238" s="2" t="s">
        <v>5</v>
      </c>
      <c r="C238" s="2">
        <v>490</v>
      </c>
      <c r="D238" s="2">
        <v>160</v>
      </c>
      <c r="E238" s="2">
        <v>154</v>
      </c>
      <c r="F238" s="2">
        <v>154</v>
      </c>
      <c r="G238" s="2">
        <v>8692100</v>
      </c>
      <c r="H238" s="2">
        <v>2868600</v>
      </c>
      <c r="I238" s="2" t="s">
        <v>43</v>
      </c>
    </row>
    <row r="239" spans="1:9">
      <c r="A239" s="3">
        <v>46023</v>
      </c>
      <c r="B239" s="2" t="s">
        <v>8</v>
      </c>
      <c r="C239" s="2">
        <v>11513</v>
      </c>
      <c r="D239" s="2">
        <v>835</v>
      </c>
      <c r="E239" s="2">
        <v>548</v>
      </c>
      <c r="F239" s="2">
        <v>539</v>
      </c>
      <c r="G239" s="2">
        <v>74228365</v>
      </c>
      <c r="H239" s="2">
        <v>2962500</v>
      </c>
      <c r="I239" s="2" t="s">
        <v>40</v>
      </c>
    </row>
    <row r="240" spans="1:9">
      <c r="A240" s="3">
        <v>45717</v>
      </c>
      <c r="B240" s="2" t="s">
        <v>9</v>
      </c>
      <c r="C240" s="2">
        <v>8705</v>
      </c>
      <c r="D240" s="2">
        <v>263</v>
      </c>
      <c r="E240" s="2">
        <v>150</v>
      </c>
      <c r="F240" s="2">
        <v>150</v>
      </c>
      <c r="G240" s="2">
        <v>71824640</v>
      </c>
      <c r="H240" s="2">
        <v>1162500</v>
      </c>
      <c r="I240" s="2" t="s">
        <v>43</v>
      </c>
    </row>
    <row r="241" spans="1:9">
      <c r="A241" s="3">
        <v>45748</v>
      </c>
      <c r="B241" s="2" t="s">
        <v>7</v>
      </c>
      <c r="C241" s="2">
        <v>414978</v>
      </c>
      <c r="D241" s="2">
        <v>3175</v>
      </c>
      <c r="E241" s="2">
        <v>1718</v>
      </c>
      <c r="F241" s="2">
        <v>1722</v>
      </c>
      <c r="G241" s="2">
        <v>9008002923</v>
      </c>
      <c r="H241" s="2">
        <v>30104607.75</v>
      </c>
      <c r="I241" s="2" t="s">
        <v>41</v>
      </c>
    </row>
    <row r="242" spans="1:9">
      <c r="A242" s="3">
        <v>45901</v>
      </c>
      <c r="B242" s="2" t="s">
        <v>7</v>
      </c>
      <c r="C242" s="2">
        <v>759724</v>
      </c>
      <c r="D242" s="2">
        <v>3589</v>
      </c>
      <c r="E242" s="2">
        <v>2019</v>
      </c>
      <c r="F242" s="2">
        <v>2033</v>
      </c>
      <c r="G242" s="2">
        <v>11196961485</v>
      </c>
      <c r="H242" s="2">
        <v>24433290.94</v>
      </c>
      <c r="I242" s="2" t="s">
        <v>37</v>
      </c>
    </row>
    <row r="243" spans="1:9">
      <c r="A243" s="3">
        <v>45748</v>
      </c>
      <c r="B243" s="2" t="s">
        <v>6</v>
      </c>
      <c r="C243" s="2">
        <v>777</v>
      </c>
      <c r="D243" s="2">
        <v>351</v>
      </c>
      <c r="E243" s="2">
        <v>316</v>
      </c>
      <c r="F243" s="2">
        <v>316</v>
      </c>
      <c r="G243" s="2">
        <v>15482625</v>
      </c>
      <c r="H243" s="2">
        <v>4675395.19</v>
      </c>
      <c r="I243" s="2" t="s">
        <v>36</v>
      </c>
    </row>
    <row r="244" spans="1:9">
      <c r="A244" s="3">
        <v>45931</v>
      </c>
      <c r="B244" s="2" t="s">
        <v>9</v>
      </c>
      <c r="C244" s="2">
        <v>2389</v>
      </c>
      <c r="D244" s="2">
        <v>56</v>
      </c>
      <c r="E244" s="2">
        <v>26</v>
      </c>
      <c r="F244" s="2">
        <v>26</v>
      </c>
      <c r="G244" s="2">
        <v>16394305</v>
      </c>
      <c r="H244" s="2">
        <v>179700</v>
      </c>
      <c r="I244" s="2" t="s">
        <v>38</v>
      </c>
    </row>
    <row r="245" spans="1:9">
      <c r="A245" s="3">
        <v>45901</v>
      </c>
      <c r="B245" s="2" t="s">
        <v>5</v>
      </c>
      <c r="C245" s="2">
        <v>1623</v>
      </c>
      <c r="D245" s="2">
        <v>932</v>
      </c>
      <c r="E245" s="2">
        <v>803</v>
      </c>
      <c r="F245" s="2">
        <v>791</v>
      </c>
      <c r="G245" s="2">
        <v>30661300</v>
      </c>
      <c r="H245" s="2">
        <v>9593200</v>
      </c>
      <c r="I245" s="2" t="s">
        <v>38</v>
      </c>
    </row>
    <row r="246" spans="1:9">
      <c r="A246" s="3">
        <v>46023</v>
      </c>
      <c r="B246" s="2" t="s">
        <v>9</v>
      </c>
      <c r="C246" s="2">
        <v>13399</v>
      </c>
      <c r="D246" s="2">
        <v>176</v>
      </c>
      <c r="E246" s="2">
        <v>93</v>
      </c>
      <c r="F246" s="2">
        <v>90</v>
      </c>
      <c r="G246" s="2">
        <v>98364840</v>
      </c>
      <c r="H246" s="2">
        <v>877100</v>
      </c>
      <c r="I246" s="2" t="s">
        <v>37</v>
      </c>
    </row>
    <row r="247" spans="1:9">
      <c r="A247" s="3">
        <v>45689</v>
      </c>
      <c r="B247" s="2" t="s">
        <v>7</v>
      </c>
      <c r="C247" s="2">
        <v>106992</v>
      </c>
      <c r="D247" s="2">
        <v>192</v>
      </c>
      <c r="E247" s="2">
        <v>63</v>
      </c>
      <c r="F247" s="2">
        <v>61</v>
      </c>
      <c r="G247" s="2">
        <v>1677626775</v>
      </c>
      <c r="H247" s="2">
        <v>444401.82</v>
      </c>
      <c r="I247" s="2" t="s">
        <v>39</v>
      </c>
    </row>
    <row r="248" spans="1:9">
      <c r="A248" s="3">
        <v>45689</v>
      </c>
      <c r="B248" s="2" t="s">
        <v>7</v>
      </c>
      <c r="C248" s="2">
        <v>619073</v>
      </c>
      <c r="D248" s="2">
        <v>3602</v>
      </c>
      <c r="E248" s="2">
        <v>1725</v>
      </c>
      <c r="F248" s="2">
        <v>1708</v>
      </c>
      <c r="G248" s="2">
        <v>11242249879</v>
      </c>
      <c r="H248" s="2">
        <v>26420989.26</v>
      </c>
      <c r="I248" s="2" t="s">
        <v>43</v>
      </c>
    </row>
    <row r="249" spans="1:9">
      <c r="A249" s="3">
        <v>46023</v>
      </c>
      <c r="B249" s="2" t="s">
        <v>5</v>
      </c>
      <c r="C249" s="2">
        <v>11374</v>
      </c>
      <c r="D249" s="2">
        <v>4220</v>
      </c>
      <c r="E249" s="2">
        <v>4124</v>
      </c>
      <c r="F249" s="2">
        <v>4102</v>
      </c>
      <c r="G249" s="2">
        <v>228467400</v>
      </c>
      <c r="H249" s="2">
        <v>79918800</v>
      </c>
      <c r="I249" s="2" t="s">
        <v>43</v>
      </c>
    </row>
    <row r="250" spans="1:9">
      <c r="A250" s="3">
        <v>45658</v>
      </c>
      <c r="B250" s="2" t="s">
        <v>8</v>
      </c>
      <c r="C250" s="2">
        <v>1734</v>
      </c>
      <c r="D250" s="2">
        <v>185</v>
      </c>
      <c r="E250" s="2">
        <v>133</v>
      </c>
      <c r="F250" s="2">
        <v>131</v>
      </c>
      <c r="G250" s="2">
        <v>12313860</v>
      </c>
      <c r="H250" s="2">
        <v>856420</v>
      </c>
      <c r="I250" s="2" t="s">
        <v>39</v>
      </c>
    </row>
    <row r="251" spans="1:9">
      <c r="A251" s="3">
        <v>45689</v>
      </c>
      <c r="B251" s="2" t="s">
        <v>10</v>
      </c>
      <c r="C251" s="2">
        <v>191243</v>
      </c>
      <c r="D251" s="2">
        <v>12489</v>
      </c>
      <c r="E251" s="2">
        <v>4588</v>
      </c>
      <c r="F251" s="2">
        <v>4568</v>
      </c>
      <c r="G251" s="2">
        <v>1353899002</v>
      </c>
      <c r="H251" s="2">
        <v>27224935.59</v>
      </c>
      <c r="I251" s="2" t="s">
        <v>44</v>
      </c>
    </row>
    <row r="252" spans="1:9">
      <c r="A252" s="3">
        <v>45901</v>
      </c>
      <c r="B252" s="2" t="s">
        <v>6</v>
      </c>
      <c r="C252" s="2">
        <v>1108</v>
      </c>
      <c r="D252" s="2">
        <v>672</v>
      </c>
      <c r="E252" s="2">
        <v>564</v>
      </c>
      <c r="F252" s="2">
        <v>560</v>
      </c>
      <c r="G252" s="2">
        <v>16877400</v>
      </c>
      <c r="H252" s="2">
        <v>6383798.46</v>
      </c>
      <c r="I252" s="2" t="s">
        <v>40</v>
      </c>
    </row>
    <row r="253" spans="1:9">
      <c r="A253" s="3">
        <v>45839</v>
      </c>
      <c r="B253" s="2" t="s">
        <v>8</v>
      </c>
      <c r="C253" s="2">
        <v>42164</v>
      </c>
      <c r="D253" s="2">
        <v>3170</v>
      </c>
      <c r="E253" s="2">
        <v>2424</v>
      </c>
      <c r="F253" s="2">
        <v>2386</v>
      </c>
      <c r="G253" s="2">
        <v>366480925</v>
      </c>
      <c r="H253" s="2">
        <v>17128633.85</v>
      </c>
      <c r="I253" s="2" t="s">
        <v>43</v>
      </c>
    </row>
    <row r="254" spans="1:9">
      <c r="A254" s="3">
        <v>45809</v>
      </c>
      <c r="B254" s="2" t="s">
        <v>8</v>
      </c>
      <c r="C254" s="2">
        <v>13031</v>
      </c>
      <c r="D254" s="2">
        <v>1798</v>
      </c>
      <c r="E254" s="2">
        <v>1475</v>
      </c>
      <c r="F254" s="2">
        <v>1430</v>
      </c>
      <c r="G254" s="2">
        <v>95455120</v>
      </c>
      <c r="H254" s="2">
        <v>8772387.21</v>
      </c>
      <c r="I254" s="2" t="s">
        <v>38</v>
      </c>
    </row>
    <row r="255" spans="1:9">
      <c r="A255" s="3">
        <v>45870</v>
      </c>
      <c r="B255" s="2" t="s">
        <v>5</v>
      </c>
      <c r="C255" s="2">
        <v>984</v>
      </c>
      <c r="D255" s="2">
        <v>484</v>
      </c>
      <c r="E255" s="2">
        <v>463</v>
      </c>
      <c r="F255" s="2">
        <v>458</v>
      </c>
      <c r="G255" s="2">
        <v>19945870</v>
      </c>
      <c r="H255" s="2">
        <v>7467510</v>
      </c>
      <c r="I255" s="2" t="s">
        <v>36</v>
      </c>
    </row>
    <row r="256" spans="1:9">
      <c r="A256" s="3">
        <v>45748</v>
      </c>
      <c r="B256" s="2" t="s">
        <v>5</v>
      </c>
      <c r="C256" s="2">
        <v>265</v>
      </c>
      <c r="D256" s="2">
        <v>160</v>
      </c>
      <c r="E256" s="2">
        <v>150</v>
      </c>
      <c r="F256" s="2">
        <v>149</v>
      </c>
      <c r="G256" s="2">
        <v>4604500</v>
      </c>
      <c r="H256" s="2">
        <v>1962980</v>
      </c>
      <c r="I256" s="2" t="s">
        <v>36</v>
      </c>
    </row>
    <row r="257" spans="1:9">
      <c r="A257" s="3">
        <v>46082</v>
      </c>
      <c r="B257" s="2" t="s">
        <v>5</v>
      </c>
      <c r="C257" s="2">
        <v>656</v>
      </c>
      <c r="D257" s="2">
        <v>304</v>
      </c>
      <c r="E257" s="2">
        <v>286</v>
      </c>
      <c r="F257" s="2">
        <v>284</v>
      </c>
      <c r="G257" s="2">
        <v>7862400</v>
      </c>
      <c r="H257" s="2">
        <v>2557100</v>
      </c>
      <c r="I257" s="2" t="s">
        <v>37</v>
      </c>
    </row>
    <row r="258" spans="1:9">
      <c r="A258" s="3">
        <v>46054</v>
      </c>
      <c r="B258" s="2" t="s">
        <v>8</v>
      </c>
      <c r="C258" s="2">
        <v>3402</v>
      </c>
      <c r="D258" s="2">
        <v>139</v>
      </c>
      <c r="E258" s="2">
        <v>83</v>
      </c>
      <c r="F258" s="2">
        <v>83</v>
      </c>
      <c r="G258" s="2">
        <v>25385415</v>
      </c>
      <c r="H258" s="2">
        <v>400100</v>
      </c>
      <c r="I258" s="2" t="s">
        <v>42</v>
      </c>
    </row>
    <row r="259" spans="1:9">
      <c r="A259" s="3">
        <v>46054</v>
      </c>
      <c r="B259" s="2" t="s">
        <v>8</v>
      </c>
      <c r="C259" s="2">
        <v>5861</v>
      </c>
      <c r="D259" s="2">
        <v>300</v>
      </c>
      <c r="E259" s="2">
        <v>168</v>
      </c>
      <c r="F259" s="2">
        <v>165</v>
      </c>
      <c r="G259" s="2">
        <v>48539045</v>
      </c>
      <c r="H259" s="2">
        <v>860200</v>
      </c>
      <c r="I259" s="2" t="s">
        <v>41</v>
      </c>
    </row>
    <row r="260" spans="1:9">
      <c r="A260" s="3">
        <v>46023</v>
      </c>
      <c r="B260" s="2" t="s">
        <v>5</v>
      </c>
      <c r="C260" s="2">
        <v>385</v>
      </c>
      <c r="D260" s="2">
        <v>183</v>
      </c>
      <c r="E260" s="2">
        <v>171</v>
      </c>
      <c r="F260" s="2">
        <v>171</v>
      </c>
      <c r="G260" s="2">
        <v>4506100</v>
      </c>
      <c r="H260" s="2">
        <v>2075900</v>
      </c>
      <c r="I260" s="2" t="s">
        <v>36</v>
      </c>
    </row>
    <row r="261" spans="1:9">
      <c r="A261" s="3">
        <v>45717</v>
      </c>
      <c r="B261" s="2" t="s">
        <v>5</v>
      </c>
      <c r="C261" s="2">
        <v>1</v>
      </c>
      <c r="D261" s="2">
        <v>1</v>
      </c>
      <c r="E261" s="2">
        <v>1</v>
      </c>
      <c r="F261" s="2">
        <v>1</v>
      </c>
      <c r="G261" s="2">
        <v>31800</v>
      </c>
      <c r="H261" s="2">
        <v>31800</v>
      </c>
      <c r="I261" s="2" t="s">
        <v>42</v>
      </c>
    </row>
    <row r="262" spans="1:9">
      <c r="A262" s="3">
        <v>45901</v>
      </c>
      <c r="B262" s="2" t="s">
        <v>9</v>
      </c>
      <c r="C262" s="2">
        <v>370</v>
      </c>
      <c r="D262" s="2">
        <v>4</v>
      </c>
      <c r="E262" s="2">
        <v>3</v>
      </c>
      <c r="F262" s="2">
        <v>3</v>
      </c>
      <c r="G262" s="2">
        <v>2887995</v>
      </c>
      <c r="H262" s="2">
        <v>5900</v>
      </c>
      <c r="I262" s="2" t="s">
        <v>42</v>
      </c>
    </row>
    <row r="263" spans="1:9">
      <c r="A263" s="3">
        <v>45689</v>
      </c>
      <c r="B263" s="2" t="s">
        <v>9</v>
      </c>
      <c r="C263" s="2">
        <v>935</v>
      </c>
      <c r="D263" s="2">
        <v>6</v>
      </c>
      <c r="E263" s="2">
        <v>3</v>
      </c>
      <c r="F263" s="2">
        <v>3</v>
      </c>
      <c r="G263" s="2">
        <v>6799200</v>
      </c>
      <c r="H263" s="2">
        <v>20800</v>
      </c>
      <c r="I263" s="2" t="s">
        <v>39</v>
      </c>
    </row>
    <row r="264" spans="1:9">
      <c r="A264" s="3">
        <v>46082</v>
      </c>
      <c r="B264" s="2" t="s">
        <v>9</v>
      </c>
      <c r="C264" s="2">
        <v>2956</v>
      </c>
      <c r="D264" s="2">
        <v>1</v>
      </c>
      <c r="E264" s="2">
        <v>1</v>
      </c>
      <c r="F264" s="2">
        <v>1</v>
      </c>
      <c r="G264" s="2">
        <v>23559085</v>
      </c>
      <c r="H264" s="2">
        <v>3000</v>
      </c>
      <c r="I264" s="2" t="s">
        <v>41</v>
      </c>
    </row>
    <row r="265" spans="1:9">
      <c r="A265" s="3">
        <v>45992</v>
      </c>
      <c r="B265" s="2" t="s">
        <v>8</v>
      </c>
      <c r="C265" s="2">
        <v>5721</v>
      </c>
      <c r="D265" s="2">
        <v>487</v>
      </c>
      <c r="E265" s="2">
        <v>393</v>
      </c>
      <c r="F265" s="2">
        <v>382</v>
      </c>
      <c r="G265" s="2">
        <v>50151805</v>
      </c>
      <c r="H265" s="2">
        <v>2995000</v>
      </c>
      <c r="I265" s="2" t="s">
        <v>41</v>
      </c>
    </row>
    <row r="266" spans="1:9">
      <c r="A266" s="3">
        <v>45717</v>
      </c>
      <c r="B266" s="2" t="s">
        <v>6</v>
      </c>
      <c r="C266" s="2">
        <v>615</v>
      </c>
      <c r="D266" s="2">
        <v>312</v>
      </c>
      <c r="E266" s="2">
        <v>267</v>
      </c>
      <c r="F266" s="2">
        <v>264</v>
      </c>
      <c r="G266" s="2">
        <v>9261595</v>
      </c>
      <c r="H266" s="2">
        <v>2615674.73</v>
      </c>
      <c r="I266" s="2" t="s">
        <v>38</v>
      </c>
    </row>
    <row r="267" spans="1:9">
      <c r="A267" s="3">
        <v>45748</v>
      </c>
      <c r="B267" s="2" t="s">
        <v>9</v>
      </c>
      <c r="C267" s="2">
        <v>8887</v>
      </c>
      <c r="D267" s="2">
        <v>279</v>
      </c>
      <c r="E267" s="2">
        <v>128</v>
      </c>
      <c r="F267" s="2">
        <v>128</v>
      </c>
      <c r="G267" s="2">
        <v>73544795</v>
      </c>
      <c r="H267" s="2">
        <v>1030018.92</v>
      </c>
      <c r="I267" s="2" t="s">
        <v>43</v>
      </c>
    </row>
    <row r="268" spans="1:9">
      <c r="A268" s="3">
        <v>45658</v>
      </c>
      <c r="B268" s="2" t="s">
        <v>5</v>
      </c>
      <c r="C268" s="2">
        <v>22359</v>
      </c>
      <c r="D268" s="2">
        <v>9677</v>
      </c>
      <c r="E268" s="2">
        <v>9299</v>
      </c>
      <c r="F268" s="2">
        <v>9219</v>
      </c>
      <c r="G268" s="2">
        <v>623559590</v>
      </c>
      <c r="H268" s="2">
        <v>179491252.4</v>
      </c>
      <c r="I268" s="2" t="s">
        <v>41</v>
      </c>
    </row>
    <row r="269" spans="1:9">
      <c r="A269" s="3">
        <v>45992</v>
      </c>
      <c r="B269" s="2" t="s">
        <v>6</v>
      </c>
      <c r="C269" s="2">
        <v>975</v>
      </c>
      <c r="D269" s="2">
        <v>550</v>
      </c>
      <c r="E269" s="2">
        <v>487</v>
      </c>
      <c r="F269" s="2">
        <v>486</v>
      </c>
      <c r="G269" s="2">
        <v>10837100</v>
      </c>
      <c r="H269" s="2">
        <v>3516900</v>
      </c>
      <c r="I269" s="2" t="s">
        <v>40</v>
      </c>
    </row>
    <row r="270" spans="1:9">
      <c r="A270" s="3">
        <v>45870</v>
      </c>
      <c r="B270" s="2" t="s">
        <v>7</v>
      </c>
      <c r="C270" s="2">
        <v>126531</v>
      </c>
      <c r="D270" s="2">
        <v>496</v>
      </c>
      <c r="E270" s="2">
        <v>283</v>
      </c>
      <c r="F270" s="2">
        <v>278</v>
      </c>
      <c r="G270" s="2">
        <v>1717937072</v>
      </c>
      <c r="H270" s="2">
        <v>2154550.69</v>
      </c>
      <c r="I270" s="2" t="s">
        <v>38</v>
      </c>
    </row>
    <row r="271" spans="1:9">
      <c r="A271" s="3">
        <v>45870</v>
      </c>
      <c r="B271" s="2" t="s">
        <v>6</v>
      </c>
      <c r="C271" s="2">
        <v>6023</v>
      </c>
      <c r="D271" s="2">
        <v>2915</v>
      </c>
      <c r="E271" s="2">
        <v>2675</v>
      </c>
      <c r="F271" s="2">
        <v>2660</v>
      </c>
      <c r="G271" s="2">
        <v>123503265</v>
      </c>
      <c r="H271" s="2">
        <v>41806949.35</v>
      </c>
      <c r="I271" s="2" t="s">
        <v>43</v>
      </c>
    </row>
    <row r="272" spans="1:9">
      <c r="A272" s="3">
        <v>45809</v>
      </c>
      <c r="B272" s="2" t="s">
        <v>8</v>
      </c>
      <c r="C272" s="2">
        <v>4564</v>
      </c>
      <c r="D272" s="2">
        <v>696</v>
      </c>
      <c r="E272" s="2">
        <v>602</v>
      </c>
      <c r="F272" s="2">
        <v>579</v>
      </c>
      <c r="G272" s="2">
        <v>39309220</v>
      </c>
      <c r="H272" s="2">
        <v>4816346.76</v>
      </c>
      <c r="I272" s="2" t="s">
        <v>41</v>
      </c>
    </row>
    <row r="273" spans="1:9">
      <c r="A273" s="3">
        <v>45870</v>
      </c>
      <c r="B273" s="2" t="s">
        <v>8</v>
      </c>
      <c r="C273" s="2">
        <v>7870</v>
      </c>
      <c r="D273" s="2">
        <v>662</v>
      </c>
      <c r="E273" s="2">
        <v>525</v>
      </c>
      <c r="F273" s="2">
        <v>524</v>
      </c>
      <c r="G273" s="2">
        <v>67476360</v>
      </c>
      <c r="H273" s="2">
        <v>3937362.71</v>
      </c>
      <c r="I273" s="2" t="s">
        <v>36</v>
      </c>
    </row>
    <row r="274" spans="1:9">
      <c r="A274" s="3">
        <v>45931</v>
      </c>
      <c r="B274" s="2" t="s">
        <v>5</v>
      </c>
      <c r="C274" s="2">
        <v>756</v>
      </c>
      <c r="D274" s="2">
        <v>394</v>
      </c>
      <c r="E274" s="2">
        <v>372</v>
      </c>
      <c r="F274" s="2">
        <v>369</v>
      </c>
      <c r="G274" s="2">
        <v>16207100</v>
      </c>
      <c r="H274" s="2">
        <v>6683900</v>
      </c>
      <c r="I274" s="2" t="s">
        <v>36</v>
      </c>
    </row>
    <row r="275" spans="1:9">
      <c r="A275" s="3">
        <v>45809</v>
      </c>
      <c r="B275" s="2" t="s">
        <v>8</v>
      </c>
      <c r="C275" s="2">
        <v>9599</v>
      </c>
      <c r="D275" s="2">
        <v>1519</v>
      </c>
      <c r="E275" s="2">
        <v>1220</v>
      </c>
      <c r="F275" s="2">
        <v>1190</v>
      </c>
      <c r="G275" s="2">
        <v>62462365</v>
      </c>
      <c r="H275" s="2">
        <v>7065089.92</v>
      </c>
      <c r="I275" s="2" t="s">
        <v>40</v>
      </c>
    </row>
    <row r="276" spans="1:9">
      <c r="A276" s="3">
        <v>45717</v>
      </c>
      <c r="B276" s="2" t="s">
        <v>7</v>
      </c>
      <c r="C276" s="2">
        <v>402195</v>
      </c>
      <c r="D276" s="2">
        <v>2715</v>
      </c>
      <c r="E276" s="2">
        <v>1547</v>
      </c>
      <c r="F276" s="2">
        <v>1545</v>
      </c>
      <c r="G276" s="2">
        <v>8558572383</v>
      </c>
      <c r="H276" s="2">
        <v>25764729.53</v>
      </c>
      <c r="I276" s="2" t="s">
        <v>41</v>
      </c>
    </row>
    <row r="277" spans="1:9">
      <c r="A277" s="3">
        <v>45901</v>
      </c>
      <c r="B277" s="2" t="s">
        <v>6</v>
      </c>
      <c r="C277" s="2">
        <v>526</v>
      </c>
      <c r="D277" s="2">
        <v>308</v>
      </c>
      <c r="E277" s="2">
        <v>240</v>
      </c>
      <c r="F277" s="2">
        <v>238</v>
      </c>
      <c r="G277" s="2">
        <v>8749100</v>
      </c>
      <c r="H277" s="2">
        <v>2311765.86</v>
      </c>
      <c r="I277" s="2" t="s">
        <v>38</v>
      </c>
    </row>
    <row r="278" spans="1:9">
      <c r="A278" s="3">
        <v>45901</v>
      </c>
      <c r="B278" s="2" t="s">
        <v>7</v>
      </c>
      <c r="C278" s="2">
        <v>513806</v>
      </c>
      <c r="D278" s="2">
        <v>3486</v>
      </c>
      <c r="E278" s="2">
        <v>2565</v>
      </c>
      <c r="F278" s="2">
        <v>2577</v>
      </c>
      <c r="G278" s="2">
        <v>12445020678</v>
      </c>
      <c r="H278" s="2">
        <v>50694181.86</v>
      </c>
      <c r="I278" s="2" t="s">
        <v>41</v>
      </c>
    </row>
    <row r="279" spans="1:9">
      <c r="A279" s="3">
        <v>45901</v>
      </c>
      <c r="B279" s="2" t="s">
        <v>5</v>
      </c>
      <c r="C279" s="2">
        <v>8720</v>
      </c>
      <c r="D279" s="2">
        <v>4918</v>
      </c>
      <c r="E279" s="2">
        <v>4373</v>
      </c>
      <c r="F279" s="2">
        <v>4321</v>
      </c>
      <c r="G279" s="2">
        <v>170254300</v>
      </c>
      <c r="H279" s="2">
        <v>63305300</v>
      </c>
      <c r="I279" s="2" t="s">
        <v>40</v>
      </c>
    </row>
    <row r="280" spans="1:9">
      <c r="A280" s="3">
        <v>45870</v>
      </c>
      <c r="B280" s="2" t="s">
        <v>6</v>
      </c>
      <c r="C280" s="2">
        <v>5882</v>
      </c>
      <c r="D280" s="2">
        <v>2875</v>
      </c>
      <c r="E280" s="2">
        <v>2571</v>
      </c>
      <c r="F280" s="2">
        <v>2546</v>
      </c>
      <c r="G280" s="2">
        <v>107250945</v>
      </c>
      <c r="H280" s="2">
        <v>32282049.29</v>
      </c>
      <c r="I280" s="2" t="s">
        <v>37</v>
      </c>
    </row>
    <row r="281" spans="1:9">
      <c r="A281" s="3">
        <v>45658</v>
      </c>
      <c r="B281" s="2" t="s">
        <v>7</v>
      </c>
      <c r="C281" s="2">
        <v>608647</v>
      </c>
      <c r="D281" s="2">
        <v>5615</v>
      </c>
      <c r="E281" s="2">
        <v>2776</v>
      </c>
      <c r="F281" s="2">
        <v>2939</v>
      </c>
      <c r="G281" s="2">
        <v>11016937064</v>
      </c>
      <c r="H281" s="2">
        <v>48758259.5</v>
      </c>
      <c r="I281" s="2" t="s">
        <v>43</v>
      </c>
    </row>
    <row r="282" spans="1:9">
      <c r="A282" s="3">
        <v>45689</v>
      </c>
      <c r="B282" s="2" t="s">
        <v>7</v>
      </c>
      <c r="C282" s="2">
        <v>599296</v>
      </c>
      <c r="D282" s="2">
        <v>4027</v>
      </c>
      <c r="E282" s="2">
        <v>2278</v>
      </c>
      <c r="F282" s="2">
        <v>2269</v>
      </c>
      <c r="G282" s="2">
        <v>13564894438</v>
      </c>
      <c r="H282" s="2">
        <v>39090013.63</v>
      </c>
      <c r="I282" s="2" t="s">
        <v>35</v>
      </c>
    </row>
    <row r="283" spans="1:9">
      <c r="A283" s="3">
        <v>46023</v>
      </c>
      <c r="B283" s="2" t="s">
        <v>7</v>
      </c>
      <c r="C283" s="2">
        <v>571212</v>
      </c>
      <c r="D283" s="2">
        <v>2464</v>
      </c>
      <c r="E283" s="2">
        <v>1675</v>
      </c>
      <c r="F283" s="2">
        <v>1672</v>
      </c>
      <c r="G283" s="2">
        <v>14501305148</v>
      </c>
      <c r="H283" s="2">
        <v>31174400</v>
      </c>
      <c r="I283" s="2" t="s">
        <v>41</v>
      </c>
    </row>
    <row r="284" spans="1:9">
      <c r="A284" s="3">
        <v>45870</v>
      </c>
      <c r="B284" s="2" t="s">
        <v>7</v>
      </c>
      <c r="C284" s="2">
        <v>494836</v>
      </c>
      <c r="D284" s="2">
        <v>3328</v>
      </c>
      <c r="E284" s="2">
        <v>2471</v>
      </c>
      <c r="F284" s="2">
        <v>2461</v>
      </c>
      <c r="G284" s="2">
        <v>11729092703</v>
      </c>
      <c r="H284" s="2">
        <v>41748194.08</v>
      </c>
      <c r="I284" s="2" t="s">
        <v>41</v>
      </c>
    </row>
    <row r="285" spans="1:9">
      <c r="A285" s="3">
        <v>45658</v>
      </c>
      <c r="B285" s="2" t="s">
        <v>42</v>
      </c>
      <c r="C285" s="2">
        <v>5108</v>
      </c>
      <c r="D285" s="2">
        <v>59</v>
      </c>
      <c r="E285" s="2">
        <v>16</v>
      </c>
      <c r="F285" s="2">
        <v>16</v>
      </c>
      <c r="G285" s="2">
        <v>64635560</v>
      </c>
      <c r="H285" s="2">
        <v>184515.8</v>
      </c>
      <c r="I285" s="2" t="s">
        <v>40</v>
      </c>
    </row>
    <row r="286" spans="1:9">
      <c r="A286" s="3">
        <v>45931</v>
      </c>
      <c r="B286" s="2" t="s">
        <v>8</v>
      </c>
      <c r="C286" s="2">
        <v>7061</v>
      </c>
      <c r="D286" s="2">
        <v>1844</v>
      </c>
      <c r="E286" s="2">
        <v>1461</v>
      </c>
      <c r="F286" s="2">
        <v>1445</v>
      </c>
      <c r="G286" s="2">
        <v>39894245</v>
      </c>
      <c r="H286" s="2">
        <v>6269500</v>
      </c>
      <c r="I286" s="2" t="s">
        <v>44</v>
      </c>
    </row>
    <row r="287" spans="1:9">
      <c r="A287" s="3">
        <v>45870</v>
      </c>
      <c r="B287" s="2" t="s">
        <v>9</v>
      </c>
      <c r="C287" s="2">
        <v>3661</v>
      </c>
      <c r="D287" s="2">
        <v>86</v>
      </c>
      <c r="E287" s="2">
        <v>44</v>
      </c>
      <c r="F287" s="2">
        <v>43</v>
      </c>
      <c r="G287" s="2">
        <v>26511216</v>
      </c>
      <c r="H287" s="2">
        <v>294690</v>
      </c>
      <c r="I287" s="2" t="s">
        <v>40</v>
      </c>
    </row>
    <row r="288" spans="1:9">
      <c r="A288" s="3">
        <v>46054</v>
      </c>
      <c r="B288" s="2" t="s">
        <v>5</v>
      </c>
      <c r="C288" s="2">
        <v>13</v>
      </c>
      <c r="D288" s="2">
        <v>6</v>
      </c>
      <c r="E288" s="2">
        <v>6</v>
      </c>
      <c r="F288" s="2">
        <v>6</v>
      </c>
      <c r="G288" s="2">
        <v>217600</v>
      </c>
      <c r="H288" s="2">
        <v>60700</v>
      </c>
      <c r="I288" s="2" t="s">
        <v>39</v>
      </c>
    </row>
    <row r="289" spans="1:9">
      <c r="A289" s="3">
        <v>46054</v>
      </c>
      <c r="B289" s="2" t="s">
        <v>9</v>
      </c>
      <c r="C289" s="2">
        <v>2391</v>
      </c>
      <c r="D289" s="2">
        <v>10</v>
      </c>
      <c r="E289" s="2">
        <v>3</v>
      </c>
      <c r="F289" s="2">
        <v>3</v>
      </c>
      <c r="G289" s="2">
        <v>16275555</v>
      </c>
      <c r="H289" s="2">
        <v>9100</v>
      </c>
      <c r="I289" s="2" t="s">
        <v>38</v>
      </c>
    </row>
    <row r="290" spans="1:9">
      <c r="A290" s="3">
        <v>45689</v>
      </c>
      <c r="B290" s="2" t="s">
        <v>6</v>
      </c>
      <c r="C290" s="2">
        <v>5839</v>
      </c>
      <c r="D290" s="2">
        <v>2888</v>
      </c>
      <c r="E290" s="2">
        <v>2655</v>
      </c>
      <c r="F290" s="2">
        <v>2627</v>
      </c>
      <c r="G290" s="2">
        <v>112704100</v>
      </c>
      <c r="H290" s="2">
        <v>37365404.34</v>
      </c>
      <c r="I290" s="2" t="s">
        <v>43</v>
      </c>
    </row>
    <row r="291" spans="1:9">
      <c r="A291" s="3">
        <v>45901</v>
      </c>
      <c r="B291" s="2" t="s">
        <v>6</v>
      </c>
      <c r="C291" s="2">
        <v>153</v>
      </c>
      <c r="D291" s="2">
        <v>76</v>
      </c>
      <c r="E291" s="2">
        <v>58</v>
      </c>
      <c r="F291" s="2">
        <v>58</v>
      </c>
      <c r="G291" s="2">
        <v>2941400</v>
      </c>
      <c r="H291" s="2">
        <v>847100</v>
      </c>
      <c r="I291" s="2" t="s">
        <v>42</v>
      </c>
    </row>
    <row r="292" spans="1:9">
      <c r="A292" s="3">
        <v>46054</v>
      </c>
      <c r="B292" s="2" t="s">
        <v>10</v>
      </c>
      <c r="C292" s="2">
        <v>281532</v>
      </c>
      <c r="D292" s="2">
        <v>963</v>
      </c>
      <c r="E292" s="2">
        <v>12</v>
      </c>
      <c r="F292" s="2">
        <v>12</v>
      </c>
      <c r="G292" s="2">
        <v>2245987245</v>
      </c>
      <c r="H292" s="2">
        <v>77900</v>
      </c>
      <c r="I292" s="2" t="s">
        <v>44</v>
      </c>
    </row>
    <row r="293" spans="1:9">
      <c r="A293" s="3">
        <v>45931</v>
      </c>
      <c r="B293" s="2" t="s">
        <v>7</v>
      </c>
      <c r="C293" s="2">
        <v>170763</v>
      </c>
      <c r="D293" s="2">
        <v>503</v>
      </c>
      <c r="E293" s="2">
        <v>258</v>
      </c>
      <c r="F293" s="2">
        <v>258</v>
      </c>
      <c r="G293" s="2">
        <v>3314648777</v>
      </c>
      <c r="H293" s="2">
        <v>3694711.7</v>
      </c>
      <c r="I293" s="2" t="s">
        <v>36</v>
      </c>
    </row>
    <row r="294" spans="1:9">
      <c r="A294" s="3">
        <v>45901</v>
      </c>
      <c r="B294" s="2" t="s">
        <v>7</v>
      </c>
      <c r="C294" s="2">
        <v>127236</v>
      </c>
      <c r="D294" s="2">
        <v>453</v>
      </c>
      <c r="E294" s="2">
        <v>235</v>
      </c>
      <c r="F294" s="2">
        <v>239</v>
      </c>
      <c r="G294" s="2">
        <v>1731305632</v>
      </c>
      <c r="H294" s="2">
        <v>2366762.89</v>
      </c>
      <c r="I294" s="2" t="s">
        <v>38</v>
      </c>
    </row>
    <row r="295" spans="1:9">
      <c r="A295" s="3">
        <v>45658</v>
      </c>
      <c r="B295" s="2" t="s">
        <v>8</v>
      </c>
      <c r="C295" s="2">
        <v>2977</v>
      </c>
      <c r="D295" s="2">
        <v>652</v>
      </c>
      <c r="E295" s="2">
        <v>538</v>
      </c>
      <c r="F295" s="2">
        <v>532</v>
      </c>
      <c r="G295" s="2">
        <v>19765360</v>
      </c>
      <c r="H295" s="2">
        <v>3689770.03</v>
      </c>
      <c r="I295" s="2" t="s">
        <v>41</v>
      </c>
    </row>
    <row r="296" spans="1:9">
      <c r="A296" s="3">
        <v>45962</v>
      </c>
      <c r="B296" s="2" t="s">
        <v>7</v>
      </c>
      <c r="C296" s="2">
        <v>700148</v>
      </c>
      <c r="D296" s="2">
        <v>2867</v>
      </c>
      <c r="E296" s="2">
        <v>1693</v>
      </c>
      <c r="F296" s="2">
        <v>1667</v>
      </c>
      <c r="G296" s="2">
        <v>12997148309</v>
      </c>
      <c r="H296" s="2">
        <v>26024400</v>
      </c>
      <c r="I296" s="2" t="s">
        <v>43</v>
      </c>
    </row>
    <row r="297" spans="1:9">
      <c r="A297" s="3">
        <v>45809</v>
      </c>
      <c r="B297" s="2" t="s">
        <v>8</v>
      </c>
      <c r="C297" s="2">
        <v>7564</v>
      </c>
      <c r="D297" s="2">
        <v>867</v>
      </c>
      <c r="E297" s="2">
        <v>706</v>
      </c>
      <c r="F297" s="2">
        <v>698</v>
      </c>
      <c r="G297" s="2">
        <v>64270460</v>
      </c>
      <c r="H297" s="2">
        <v>5260456.44</v>
      </c>
      <c r="I297" s="2" t="s">
        <v>36</v>
      </c>
    </row>
    <row r="298" spans="1:9">
      <c r="A298" s="3">
        <v>45931</v>
      </c>
      <c r="B298" s="2" t="s">
        <v>9</v>
      </c>
      <c r="C298" s="2">
        <v>3658</v>
      </c>
      <c r="D298" s="2">
        <v>60</v>
      </c>
      <c r="E298" s="2">
        <v>26</v>
      </c>
      <c r="F298" s="2">
        <v>26</v>
      </c>
      <c r="G298" s="2">
        <v>26548651</v>
      </c>
      <c r="H298" s="2">
        <v>283700</v>
      </c>
      <c r="I298" s="2" t="s">
        <v>40</v>
      </c>
    </row>
    <row r="299" spans="1:9">
      <c r="A299" s="3">
        <v>45748</v>
      </c>
      <c r="B299" s="2" t="s">
        <v>9</v>
      </c>
      <c r="C299" s="2">
        <v>1268</v>
      </c>
      <c r="D299" s="2">
        <v>43</v>
      </c>
      <c r="E299" s="2">
        <v>26</v>
      </c>
      <c r="F299" s="2">
        <v>26</v>
      </c>
      <c r="G299" s="2">
        <v>10834815</v>
      </c>
      <c r="H299" s="2">
        <v>219200</v>
      </c>
      <c r="I299" s="2" t="s">
        <v>36</v>
      </c>
    </row>
    <row r="300" spans="1:9">
      <c r="A300" s="3">
        <v>45778</v>
      </c>
      <c r="B300" s="2" t="s">
        <v>7</v>
      </c>
      <c r="C300" s="2">
        <v>643277</v>
      </c>
      <c r="D300" s="2">
        <v>4241</v>
      </c>
      <c r="E300" s="2">
        <v>2017</v>
      </c>
      <c r="F300" s="2">
        <v>2007</v>
      </c>
      <c r="G300" s="2">
        <v>11764747354</v>
      </c>
      <c r="H300" s="2">
        <v>27428587.52</v>
      </c>
      <c r="I300" s="2" t="s">
        <v>43</v>
      </c>
    </row>
    <row r="301" spans="1:9">
      <c r="A301" s="3">
        <v>45778</v>
      </c>
      <c r="B301" s="2" t="s">
        <v>8</v>
      </c>
      <c r="C301" s="2">
        <v>41047</v>
      </c>
      <c r="D301" s="2">
        <v>5293</v>
      </c>
      <c r="E301" s="2">
        <v>4239</v>
      </c>
      <c r="F301" s="2">
        <v>4176</v>
      </c>
      <c r="G301" s="2">
        <v>356075995</v>
      </c>
      <c r="H301" s="2">
        <v>31536041.12</v>
      </c>
      <c r="I301" s="2" t="s">
        <v>43</v>
      </c>
    </row>
    <row r="302" spans="1:9">
      <c r="A302" s="3">
        <v>46023</v>
      </c>
      <c r="B302" s="2" t="s">
        <v>9</v>
      </c>
      <c r="C302" s="2">
        <v>3682</v>
      </c>
      <c r="D302" s="2">
        <v>36</v>
      </c>
      <c r="E302" s="2">
        <v>18</v>
      </c>
      <c r="F302" s="2">
        <v>18</v>
      </c>
      <c r="G302" s="2">
        <v>26933651</v>
      </c>
      <c r="H302" s="2">
        <v>126500</v>
      </c>
      <c r="I302" s="2" t="s">
        <v>40</v>
      </c>
    </row>
    <row r="303" spans="1:9">
      <c r="A303" s="3">
        <v>45931</v>
      </c>
      <c r="B303" s="2" t="s">
        <v>9</v>
      </c>
      <c r="C303" s="2">
        <v>9486</v>
      </c>
      <c r="D303" s="2">
        <v>795</v>
      </c>
      <c r="E303" s="2">
        <v>103</v>
      </c>
      <c r="F303" s="2">
        <v>103</v>
      </c>
      <c r="G303" s="2">
        <v>47643255</v>
      </c>
      <c r="H303" s="2">
        <v>745300</v>
      </c>
      <c r="I303" s="2" t="s">
        <v>44</v>
      </c>
    </row>
    <row r="304" spans="1:9">
      <c r="A304" s="3">
        <v>45689</v>
      </c>
      <c r="B304" s="2" t="s">
        <v>5</v>
      </c>
      <c r="C304" s="2">
        <v>5736</v>
      </c>
      <c r="D304" s="2">
        <v>3585</v>
      </c>
      <c r="E304" s="2">
        <v>3024</v>
      </c>
      <c r="F304" s="2">
        <v>2981</v>
      </c>
      <c r="G304" s="2">
        <v>100581365</v>
      </c>
      <c r="H304" s="2">
        <v>37684155</v>
      </c>
      <c r="I304" s="2" t="s">
        <v>40</v>
      </c>
    </row>
    <row r="305" spans="1:9">
      <c r="A305" s="3">
        <v>45839</v>
      </c>
      <c r="B305" s="2" t="s">
        <v>8</v>
      </c>
      <c r="C305" s="2">
        <v>67078</v>
      </c>
      <c r="D305" s="2">
        <v>6569</v>
      </c>
      <c r="E305" s="2">
        <v>4962</v>
      </c>
      <c r="F305" s="2">
        <v>4860</v>
      </c>
      <c r="G305" s="2">
        <v>507017870</v>
      </c>
      <c r="H305" s="2">
        <v>31005861.15</v>
      </c>
      <c r="I305" s="2" t="s">
        <v>37</v>
      </c>
    </row>
    <row r="306" spans="1:9">
      <c r="A306" s="3">
        <v>45992</v>
      </c>
      <c r="B306" s="2" t="s">
        <v>8</v>
      </c>
      <c r="C306" s="2">
        <v>26091</v>
      </c>
      <c r="D306" s="2">
        <v>1373</v>
      </c>
      <c r="E306" s="2">
        <v>1056</v>
      </c>
      <c r="F306" s="2">
        <v>1035</v>
      </c>
      <c r="G306" s="2">
        <v>245321960</v>
      </c>
      <c r="H306" s="2">
        <v>8677300</v>
      </c>
      <c r="I306" s="2" t="s">
        <v>35</v>
      </c>
    </row>
    <row r="307" spans="1:9">
      <c r="A307" s="3">
        <v>45717</v>
      </c>
      <c r="B307" s="2" t="s">
        <v>6</v>
      </c>
      <c r="C307" s="2">
        <v>5800</v>
      </c>
      <c r="D307" s="2">
        <v>2814</v>
      </c>
      <c r="E307" s="2">
        <v>2565</v>
      </c>
      <c r="F307" s="2">
        <v>2540</v>
      </c>
      <c r="G307" s="2">
        <v>137767745</v>
      </c>
      <c r="H307" s="2">
        <v>44338040.25</v>
      </c>
      <c r="I307" s="2" t="s">
        <v>35</v>
      </c>
    </row>
    <row r="308" spans="1:9">
      <c r="A308" s="3">
        <v>45839</v>
      </c>
      <c r="B308" s="2" t="s">
        <v>9</v>
      </c>
      <c r="C308" s="2">
        <v>3641</v>
      </c>
      <c r="D308" s="2">
        <v>70</v>
      </c>
      <c r="E308" s="2">
        <v>43</v>
      </c>
      <c r="F308" s="2">
        <v>43</v>
      </c>
      <c r="G308" s="2">
        <v>26300931</v>
      </c>
      <c r="H308" s="2">
        <v>341800</v>
      </c>
      <c r="I308" s="2" t="s">
        <v>40</v>
      </c>
    </row>
    <row r="309" spans="1:9">
      <c r="A309" s="3">
        <v>46023</v>
      </c>
      <c r="B309" s="2" t="s">
        <v>5</v>
      </c>
      <c r="C309" s="2">
        <v>15905</v>
      </c>
      <c r="D309" s="2">
        <v>6110</v>
      </c>
      <c r="E309" s="2">
        <v>5918</v>
      </c>
      <c r="F309" s="2">
        <v>5879</v>
      </c>
      <c r="G309" s="2">
        <v>517220100</v>
      </c>
      <c r="H309" s="2">
        <v>127483200</v>
      </c>
      <c r="I309" s="2" t="s">
        <v>41</v>
      </c>
    </row>
    <row r="310" spans="1:9">
      <c r="A310" s="3">
        <v>45778</v>
      </c>
      <c r="B310" s="2" t="s">
        <v>5</v>
      </c>
      <c r="C310" s="2">
        <v>26209</v>
      </c>
      <c r="D310" s="2">
        <v>11125</v>
      </c>
      <c r="E310" s="2">
        <v>10595</v>
      </c>
      <c r="F310" s="2">
        <v>10457</v>
      </c>
      <c r="G310" s="2">
        <v>770785355</v>
      </c>
      <c r="H310" s="2">
        <v>214085697.4</v>
      </c>
      <c r="I310" s="2" t="s">
        <v>35</v>
      </c>
    </row>
    <row r="311" spans="1:9">
      <c r="A311" s="3">
        <v>46082</v>
      </c>
      <c r="B311" s="2" t="s">
        <v>8</v>
      </c>
      <c r="C311" s="2">
        <v>3368</v>
      </c>
      <c r="D311" s="2">
        <v>7</v>
      </c>
      <c r="E311" s="2">
        <v>3</v>
      </c>
      <c r="F311" s="2">
        <v>3</v>
      </c>
      <c r="G311" s="2">
        <v>27831415</v>
      </c>
      <c r="H311" s="2">
        <v>9000</v>
      </c>
      <c r="I311" s="2" t="s">
        <v>39</v>
      </c>
    </row>
    <row r="312" spans="1:9">
      <c r="A312" s="3">
        <v>46054</v>
      </c>
      <c r="B312" s="2" t="s">
        <v>9</v>
      </c>
      <c r="C312" s="2">
        <v>2961</v>
      </c>
      <c r="D312" s="2">
        <v>12</v>
      </c>
      <c r="E312" s="2">
        <v>5</v>
      </c>
      <c r="F312" s="2">
        <v>5</v>
      </c>
      <c r="G312" s="2">
        <v>23643585</v>
      </c>
      <c r="H312" s="2">
        <v>66100</v>
      </c>
      <c r="I312" s="2" t="s">
        <v>41</v>
      </c>
    </row>
    <row r="313" spans="1:9">
      <c r="A313" s="3">
        <v>45931</v>
      </c>
      <c r="B313" s="2" t="s">
        <v>6</v>
      </c>
      <c r="C313" s="2">
        <v>5299</v>
      </c>
      <c r="D313" s="2">
        <v>2905</v>
      </c>
      <c r="E313" s="2">
        <v>2519</v>
      </c>
      <c r="F313" s="2">
        <v>2495</v>
      </c>
      <c r="G313" s="2">
        <v>93357100</v>
      </c>
      <c r="H313" s="2">
        <v>32532700</v>
      </c>
      <c r="I313" s="2" t="s">
        <v>37</v>
      </c>
    </row>
    <row r="314" spans="1:9">
      <c r="A314" s="3">
        <v>45901</v>
      </c>
      <c r="B314" s="2" t="s">
        <v>9</v>
      </c>
      <c r="C314" s="2">
        <v>1372</v>
      </c>
      <c r="D314" s="2">
        <v>31</v>
      </c>
      <c r="E314" s="2">
        <v>18</v>
      </c>
      <c r="F314" s="2">
        <v>18</v>
      </c>
      <c r="G314" s="2">
        <v>11977265</v>
      </c>
      <c r="H314" s="2">
        <v>128600</v>
      </c>
      <c r="I314" s="2" t="s">
        <v>36</v>
      </c>
    </row>
    <row r="315" spans="1:9">
      <c r="A315" s="3">
        <v>45778</v>
      </c>
      <c r="B315" s="2" t="s">
        <v>9</v>
      </c>
      <c r="C315" s="2">
        <v>999</v>
      </c>
      <c r="D315" s="2">
        <v>16</v>
      </c>
      <c r="E315" s="2">
        <v>10</v>
      </c>
      <c r="F315" s="2">
        <v>10</v>
      </c>
      <c r="G315" s="2">
        <v>7367190</v>
      </c>
      <c r="H315" s="2">
        <v>57900</v>
      </c>
      <c r="I315" s="2" t="s">
        <v>39</v>
      </c>
    </row>
    <row r="316" spans="1:9">
      <c r="A316" s="3">
        <v>45809</v>
      </c>
      <c r="B316" s="2" t="s">
        <v>7</v>
      </c>
      <c r="C316" s="2">
        <v>5712</v>
      </c>
      <c r="D316" s="2">
        <v>52</v>
      </c>
      <c r="E316" s="2">
        <v>18</v>
      </c>
      <c r="F316" s="2">
        <v>19</v>
      </c>
      <c r="G316" s="2">
        <v>72110925</v>
      </c>
      <c r="H316" s="2">
        <v>266139.89</v>
      </c>
      <c r="I316" s="2" t="s">
        <v>42</v>
      </c>
    </row>
    <row r="317" spans="1:9">
      <c r="A317" s="3">
        <v>45689</v>
      </c>
      <c r="B317" s="2" t="s">
        <v>6</v>
      </c>
      <c r="C317" s="2">
        <v>645</v>
      </c>
      <c r="D317" s="2">
        <v>337</v>
      </c>
      <c r="E317" s="2">
        <v>287</v>
      </c>
      <c r="F317" s="2">
        <v>285</v>
      </c>
      <c r="G317" s="2">
        <v>9625545</v>
      </c>
      <c r="H317" s="2">
        <v>3223304.47</v>
      </c>
      <c r="I317" s="2" t="s">
        <v>38</v>
      </c>
    </row>
    <row r="318" spans="1:9">
      <c r="A318" s="3">
        <v>45931</v>
      </c>
      <c r="B318" s="2" t="s">
        <v>6</v>
      </c>
      <c r="C318" s="2">
        <v>112</v>
      </c>
      <c r="D318" s="2">
        <v>49</v>
      </c>
      <c r="E318" s="2">
        <v>41</v>
      </c>
      <c r="F318" s="2">
        <v>40</v>
      </c>
      <c r="G318" s="2">
        <v>2189200</v>
      </c>
      <c r="H318" s="2">
        <v>564800</v>
      </c>
      <c r="I318" s="2" t="s">
        <v>42</v>
      </c>
    </row>
    <row r="319" spans="1:9">
      <c r="A319" s="3">
        <v>46082</v>
      </c>
      <c r="B319" s="2" t="s">
        <v>8</v>
      </c>
      <c r="C319" s="2">
        <v>7341</v>
      </c>
      <c r="D319" s="2">
        <v>26</v>
      </c>
      <c r="E319" s="2">
        <v>2</v>
      </c>
      <c r="F319" s="2">
        <v>2</v>
      </c>
      <c r="G319" s="2">
        <v>38233550</v>
      </c>
      <c r="H319" s="2">
        <v>32000</v>
      </c>
      <c r="I319" s="2" t="s">
        <v>44</v>
      </c>
    </row>
    <row r="320" spans="1:9">
      <c r="A320" s="3">
        <v>45870</v>
      </c>
      <c r="B320" s="2" t="s">
        <v>8</v>
      </c>
      <c r="C320" s="2">
        <v>9700</v>
      </c>
      <c r="D320" s="2">
        <v>967</v>
      </c>
      <c r="E320" s="2">
        <v>744</v>
      </c>
      <c r="F320" s="2">
        <v>732</v>
      </c>
      <c r="G320" s="2">
        <v>63376665</v>
      </c>
      <c r="H320" s="2">
        <v>4369754.91</v>
      </c>
      <c r="I320" s="2" t="s">
        <v>40</v>
      </c>
    </row>
    <row r="321" spans="1:9">
      <c r="A321" s="3">
        <v>46054</v>
      </c>
      <c r="B321" s="2" t="s">
        <v>7</v>
      </c>
      <c r="C321" s="2">
        <v>109607</v>
      </c>
      <c r="D321" s="2">
        <v>26</v>
      </c>
      <c r="E321" s="2">
        <v>9</v>
      </c>
      <c r="F321" s="2">
        <v>9</v>
      </c>
      <c r="G321" s="2">
        <v>1725077775</v>
      </c>
      <c r="H321" s="2">
        <v>56500</v>
      </c>
      <c r="I321" s="2" t="s">
        <v>39</v>
      </c>
    </row>
    <row r="322" spans="1:9">
      <c r="A322" s="3">
        <v>45809</v>
      </c>
      <c r="B322" s="2" t="s">
        <v>8</v>
      </c>
      <c r="C322" s="2">
        <v>2886</v>
      </c>
      <c r="D322" s="2">
        <v>259</v>
      </c>
      <c r="E322" s="2">
        <v>186</v>
      </c>
      <c r="F322" s="2">
        <v>178</v>
      </c>
      <c r="G322" s="2">
        <v>23324395</v>
      </c>
      <c r="H322" s="2">
        <v>1046328.08</v>
      </c>
      <c r="I322" s="2" t="s">
        <v>39</v>
      </c>
    </row>
    <row r="323" spans="1:9">
      <c r="A323" s="3">
        <v>45658</v>
      </c>
      <c r="B323" s="2" t="s">
        <v>9</v>
      </c>
      <c r="C323" s="2">
        <v>2625</v>
      </c>
      <c r="D323" s="2">
        <v>66</v>
      </c>
      <c r="E323" s="2">
        <v>26</v>
      </c>
      <c r="F323" s="2">
        <v>26</v>
      </c>
      <c r="G323" s="2">
        <v>20326375</v>
      </c>
      <c r="H323" s="2">
        <v>135800</v>
      </c>
      <c r="I323" s="2" t="s">
        <v>41</v>
      </c>
    </row>
    <row r="324" spans="1:9">
      <c r="A324" s="3">
        <v>45931</v>
      </c>
      <c r="B324" s="2" t="s">
        <v>7</v>
      </c>
      <c r="C324" s="2">
        <v>725286</v>
      </c>
      <c r="D324" s="2">
        <v>3713</v>
      </c>
      <c r="E324" s="2">
        <v>2531</v>
      </c>
      <c r="F324" s="2">
        <v>2499</v>
      </c>
      <c r="G324" s="2">
        <v>17475510376</v>
      </c>
      <c r="H324" s="2">
        <v>42689275.94</v>
      </c>
      <c r="I324" s="2" t="s">
        <v>35</v>
      </c>
    </row>
    <row r="325" spans="1:9">
      <c r="A325" s="3">
        <v>45809</v>
      </c>
      <c r="B325" s="2" t="s">
        <v>42</v>
      </c>
      <c r="C325" s="2">
        <v>4172</v>
      </c>
      <c r="D325" s="2">
        <v>30</v>
      </c>
      <c r="E325" s="2">
        <v>21</v>
      </c>
      <c r="F325" s="2">
        <v>19</v>
      </c>
      <c r="G325" s="2">
        <v>71221025</v>
      </c>
      <c r="H325" s="2">
        <v>315990</v>
      </c>
      <c r="I325" s="2" t="s">
        <v>42</v>
      </c>
    </row>
    <row r="326" spans="1:9">
      <c r="A326" s="3">
        <v>45778</v>
      </c>
      <c r="B326" s="2" t="s">
        <v>8</v>
      </c>
      <c r="C326" s="2">
        <v>4327</v>
      </c>
      <c r="D326" s="2">
        <v>702</v>
      </c>
      <c r="E326" s="2">
        <v>593</v>
      </c>
      <c r="F326" s="2">
        <v>588</v>
      </c>
      <c r="G326" s="2">
        <v>36644115</v>
      </c>
      <c r="H326" s="2">
        <v>4808019.78</v>
      </c>
      <c r="I326" s="2" t="s">
        <v>41</v>
      </c>
    </row>
    <row r="327" spans="1:9">
      <c r="A327" s="3">
        <v>46082</v>
      </c>
      <c r="B327" s="2" t="s">
        <v>7</v>
      </c>
      <c r="C327" s="2">
        <v>6214</v>
      </c>
      <c r="D327" s="2">
        <v>1</v>
      </c>
      <c r="E327" s="2">
        <v>1</v>
      </c>
      <c r="F327" s="2">
        <v>1</v>
      </c>
      <c r="G327" s="2">
        <v>80626930</v>
      </c>
      <c r="H327" s="2">
        <v>2000</v>
      </c>
      <c r="I327" s="2" t="s">
        <v>42</v>
      </c>
    </row>
    <row r="328" spans="1:9">
      <c r="A328" s="3">
        <v>45717</v>
      </c>
      <c r="B328" s="2" t="s">
        <v>9</v>
      </c>
      <c r="C328" s="2">
        <v>2757</v>
      </c>
      <c r="D328" s="2">
        <v>51</v>
      </c>
      <c r="E328" s="2">
        <v>30</v>
      </c>
      <c r="F328" s="2">
        <v>30</v>
      </c>
      <c r="G328" s="2">
        <v>21584390</v>
      </c>
      <c r="H328" s="2">
        <v>186800</v>
      </c>
      <c r="I328" s="2" t="s">
        <v>41</v>
      </c>
    </row>
    <row r="329" spans="1:9">
      <c r="A329" s="3">
        <v>45809</v>
      </c>
      <c r="B329" s="2" t="s">
        <v>9</v>
      </c>
      <c r="C329" s="2">
        <v>1301</v>
      </c>
      <c r="D329" s="2">
        <v>33</v>
      </c>
      <c r="E329" s="2">
        <v>17</v>
      </c>
      <c r="F329" s="2">
        <v>17</v>
      </c>
      <c r="G329" s="2">
        <v>11115730</v>
      </c>
      <c r="H329" s="2">
        <v>116100</v>
      </c>
      <c r="I329" s="2" t="s">
        <v>36</v>
      </c>
    </row>
    <row r="330" spans="1:9">
      <c r="A330" s="3">
        <v>45689</v>
      </c>
      <c r="B330" s="2" t="s">
        <v>5</v>
      </c>
      <c r="C330" s="2">
        <v>2</v>
      </c>
      <c r="D330" s="2">
        <v>1</v>
      </c>
      <c r="E330" s="2">
        <v>1</v>
      </c>
      <c r="F330" s="2">
        <v>1</v>
      </c>
      <c r="G330" s="2">
        <v>51950</v>
      </c>
      <c r="H330" s="2">
        <v>5000</v>
      </c>
      <c r="I330" s="2" t="s">
        <v>42</v>
      </c>
    </row>
    <row r="331" spans="1:9">
      <c r="A331" s="3">
        <v>45839</v>
      </c>
      <c r="B331" s="2" t="s">
        <v>8</v>
      </c>
      <c r="C331" s="2">
        <v>22698</v>
      </c>
      <c r="D331" s="2">
        <v>2032</v>
      </c>
      <c r="E331" s="2">
        <v>1581</v>
      </c>
      <c r="F331" s="2">
        <v>1571</v>
      </c>
      <c r="G331" s="2">
        <v>206735170</v>
      </c>
      <c r="H331" s="2">
        <v>11545378.12</v>
      </c>
      <c r="I331" s="2" t="s">
        <v>35</v>
      </c>
    </row>
    <row r="332" spans="1:9">
      <c r="A332" s="3">
        <v>45748</v>
      </c>
      <c r="B332" s="2" t="s">
        <v>5</v>
      </c>
      <c r="C332" s="2">
        <v>1152</v>
      </c>
      <c r="D332" s="2">
        <v>721</v>
      </c>
      <c r="E332" s="2">
        <v>648</v>
      </c>
      <c r="F332" s="2">
        <v>635</v>
      </c>
      <c r="G332" s="2">
        <v>18133960</v>
      </c>
      <c r="H332" s="2">
        <v>7202480</v>
      </c>
      <c r="I332" s="2" t="s">
        <v>38</v>
      </c>
    </row>
    <row r="333" spans="1:9">
      <c r="A333" s="3">
        <v>46023</v>
      </c>
      <c r="B333" s="2" t="s">
        <v>6</v>
      </c>
      <c r="C333" s="2">
        <v>3946</v>
      </c>
      <c r="D333" s="2">
        <v>1927</v>
      </c>
      <c r="E333" s="2">
        <v>1831</v>
      </c>
      <c r="F333" s="2">
        <v>1821</v>
      </c>
      <c r="G333" s="2">
        <v>73921800</v>
      </c>
      <c r="H333" s="2">
        <v>27494900</v>
      </c>
      <c r="I333" s="2" t="s">
        <v>35</v>
      </c>
    </row>
    <row r="334" spans="1:9">
      <c r="A334" s="3">
        <v>46023</v>
      </c>
      <c r="B334" s="2" t="s">
        <v>5</v>
      </c>
      <c r="C334" s="2">
        <v>234</v>
      </c>
      <c r="D334" s="2">
        <v>161</v>
      </c>
      <c r="E334" s="2">
        <v>154</v>
      </c>
      <c r="F334" s="2">
        <v>154</v>
      </c>
      <c r="G334" s="2">
        <v>1509200</v>
      </c>
      <c r="H334" s="2">
        <v>696900</v>
      </c>
      <c r="I334" s="2" t="s">
        <v>38</v>
      </c>
    </row>
    <row r="335" spans="1:9">
      <c r="A335" s="3">
        <v>45689</v>
      </c>
      <c r="B335" s="2" t="s">
        <v>8</v>
      </c>
      <c r="C335" s="2">
        <v>2682</v>
      </c>
      <c r="D335" s="2">
        <v>709</v>
      </c>
      <c r="E335" s="2">
        <v>583</v>
      </c>
      <c r="F335" s="2">
        <v>576</v>
      </c>
      <c r="G335" s="2">
        <v>14255780</v>
      </c>
      <c r="H335" s="2">
        <v>2991340.43</v>
      </c>
      <c r="I335" s="2" t="s">
        <v>44</v>
      </c>
    </row>
    <row r="336" spans="1:9">
      <c r="A336" s="3">
        <v>45992</v>
      </c>
      <c r="B336" s="2" t="s">
        <v>9</v>
      </c>
      <c r="C336" s="2">
        <v>9803</v>
      </c>
      <c r="D336" s="2">
        <v>169</v>
      </c>
      <c r="E336" s="2">
        <v>103</v>
      </c>
      <c r="F336" s="2">
        <v>99</v>
      </c>
      <c r="G336" s="2">
        <v>82418260</v>
      </c>
      <c r="H336" s="2">
        <v>1165600</v>
      </c>
      <c r="I336" s="2" t="s">
        <v>43</v>
      </c>
    </row>
    <row r="337" spans="1:9">
      <c r="A337" s="3">
        <v>46082</v>
      </c>
      <c r="B337" s="2" t="s">
        <v>10</v>
      </c>
      <c r="C337" s="2">
        <v>136</v>
      </c>
      <c r="D337" s="2">
        <v>0</v>
      </c>
      <c r="E337" s="2" t="s">
        <v>45</v>
      </c>
      <c r="F337" s="2">
        <v>0</v>
      </c>
      <c r="G337" s="2">
        <v>1824600</v>
      </c>
      <c r="H337" s="2" t="s">
        <v>45</v>
      </c>
      <c r="I337" s="2" t="s">
        <v>42</v>
      </c>
    </row>
    <row r="338" spans="1:9">
      <c r="A338" s="3">
        <v>45839</v>
      </c>
      <c r="B338" s="2" t="s">
        <v>9</v>
      </c>
      <c r="C338" s="2">
        <v>2323</v>
      </c>
      <c r="D338" s="2">
        <v>56</v>
      </c>
      <c r="E338" s="2">
        <v>25</v>
      </c>
      <c r="F338" s="2">
        <v>25</v>
      </c>
      <c r="G338" s="2">
        <v>15633230</v>
      </c>
      <c r="H338" s="2">
        <v>125005</v>
      </c>
      <c r="I338" s="2" t="s">
        <v>38</v>
      </c>
    </row>
    <row r="339" spans="1:9">
      <c r="A339" s="3">
        <v>45809</v>
      </c>
      <c r="B339" s="2" t="s">
        <v>5</v>
      </c>
      <c r="C339" s="2">
        <v>15269</v>
      </c>
      <c r="D339" s="2">
        <v>7653</v>
      </c>
      <c r="E339" s="2">
        <v>7472</v>
      </c>
      <c r="F339" s="2">
        <v>7382</v>
      </c>
      <c r="G339" s="2">
        <v>299863520</v>
      </c>
      <c r="H339" s="2">
        <v>115943750</v>
      </c>
      <c r="I339" s="2" t="s">
        <v>43</v>
      </c>
    </row>
    <row r="340" spans="1:9">
      <c r="A340" s="3">
        <v>45717</v>
      </c>
      <c r="B340" s="2" t="s">
        <v>6</v>
      </c>
      <c r="C340" s="2">
        <v>5206</v>
      </c>
      <c r="D340" s="2">
        <v>2275</v>
      </c>
      <c r="E340" s="2">
        <v>2160</v>
      </c>
      <c r="F340" s="2">
        <v>2140</v>
      </c>
      <c r="G340" s="2">
        <v>134862940</v>
      </c>
      <c r="H340" s="2">
        <v>35844860.44</v>
      </c>
      <c r="I340" s="2" t="s">
        <v>41</v>
      </c>
    </row>
    <row r="341" spans="1:9">
      <c r="A341" s="3">
        <v>45809</v>
      </c>
      <c r="B341" s="2" t="s">
        <v>6</v>
      </c>
      <c r="C341" s="2">
        <v>940</v>
      </c>
      <c r="D341" s="2">
        <v>420</v>
      </c>
      <c r="E341" s="2">
        <v>387</v>
      </c>
      <c r="F341" s="2">
        <v>380</v>
      </c>
      <c r="G341" s="2">
        <v>19696655</v>
      </c>
      <c r="H341" s="2">
        <v>6162977.02</v>
      </c>
      <c r="I341" s="2" t="s">
        <v>36</v>
      </c>
    </row>
    <row r="342" spans="1:9">
      <c r="A342" s="3">
        <v>45931</v>
      </c>
      <c r="B342" s="2" t="s">
        <v>8</v>
      </c>
      <c r="C342" s="2">
        <v>46979</v>
      </c>
      <c r="D342" s="2">
        <v>3820</v>
      </c>
      <c r="E342" s="2">
        <v>2906</v>
      </c>
      <c r="F342" s="2">
        <v>2865</v>
      </c>
      <c r="G342" s="2">
        <v>410779955</v>
      </c>
      <c r="H342" s="2">
        <v>20917000</v>
      </c>
      <c r="I342" s="2" t="s">
        <v>43</v>
      </c>
    </row>
    <row r="343" spans="1:9">
      <c r="A343" s="3">
        <v>45778</v>
      </c>
      <c r="B343" s="2" t="s">
        <v>6</v>
      </c>
      <c r="C343" s="2">
        <v>177</v>
      </c>
      <c r="D343" s="2">
        <v>70</v>
      </c>
      <c r="E343" s="2">
        <v>51</v>
      </c>
      <c r="F343" s="2">
        <v>50</v>
      </c>
      <c r="G343" s="2">
        <v>2782695</v>
      </c>
      <c r="H343" s="2">
        <v>554680</v>
      </c>
      <c r="I343" s="2" t="s">
        <v>39</v>
      </c>
    </row>
    <row r="344" spans="1:9">
      <c r="A344" s="3">
        <v>45689</v>
      </c>
      <c r="B344" s="2" t="s">
        <v>9</v>
      </c>
      <c r="C344" s="2">
        <v>1191</v>
      </c>
      <c r="D344" s="2">
        <v>44</v>
      </c>
      <c r="E344" s="2">
        <v>23</v>
      </c>
      <c r="F344" s="2">
        <v>23</v>
      </c>
      <c r="G344" s="2">
        <v>10245170</v>
      </c>
      <c r="H344" s="2">
        <v>271500</v>
      </c>
      <c r="I344" s="2" t="s">
        <v>36</v>
      </c>
    </row>
    <row r="345" spans="1:9">
      <c r="A345" s="3">
        <v>46054</v>
      </c>
      <c r="B345" s="2" t="s">
        <v>7</v>
      </c>
      <c r="C345" s="2">
        <v>726653</v>
      </c>
      <c r="D345" s="2">
        <v>1343</v>
      </c>
      <c r="E345" s="2">
        <v>801</v>
      </c>
      <c r="F345" s="2">
        <v>796</v>
      </c>
      <c r="G345" s="2">
        <v>13440506284</v>
      </c>
      <c r="H345" s="2">
        <v>13349400</v>
      </c>
      <c r="I345" s="2" t="s">
        <v>43</v>
      </c>
    </row>
    <row r="346" spans="1:9">
      <c r="A346" s="3">
        <v>45992</v>
      </c>
      <c r="B346" s="2" t="s">
        <v>7</v>
      </c>
      <c r="C346" s="2">
        <v>557696</v>
      </c>
      <c r="D346" s="2">
        <v>2629</v>
      </c>
      <c r="E346" s="2">
        <v>1762</v>
      </c>
      <c r="F346" s="2">
        <v>1769</v>
      </c>
      <c r="G346" s="2">
        <v>14105582873</v>
      </c>
      <c r="H346" s="2">
        <v>34328400</v>
      </c>
      <c r="I346" s="2" t="s">
        <v>41</v>
      </c>
    </row>
    <row r="347" spans="1:9">
      <c r="A347" s="3">
        <v>45839</v>
      </c>
      <c r="B347" s="2" t="s">
        <v>8</v>
      </c>
      <c r="C347" s="2">
        <v>9541</v>
      </c>
      <c r="D347" s="2">
        <v>1103</v>
      </c>
      <c r="E347" s="2">
        <v>841</v>
      </c>
      <c r="F347" s="2">
        <v>823</v>
      </c>
      <c r="G347" s="2">
        <v>61850605</v>
      </c>
      <c r="H347" s="2">
        <v>4778438.56</v>
      </c>
      <c r="I347" s="2" t="s">
        <v>40</v>
      </c>
    </row>
    <row r="348" spans="1:9">
      <c r="A348" s="3">
        <v>45809</v>
      </c>
      <c r="B348" s="2" t="s">
        <v>8</v>
      </c>
      <c r="C348" s="2">
        <v>67374</v>
      </c>
      <c r="D348" s="2">
        <v>9180</v>
      </c>
      <c r="E348" s="2">
        <v>7459</v>
      </c>
      <c r="F348" s="2">
        <v>7276</v>
      </c>
      <c r="G348" s="2">
        <v>509808780</v>
      </c>
      <c r="H348" s="2">
        <v>47876259.21</v>
      </c>
      <c r="I348" s="2" t="s">
        <v>37</v>
      </c>
    </row>
    <row r="349" spans="1:9">
      <c r="A349" s="3">
        <v>45778</v>
      </c>
      <c r="B349" s="2" t="s">
        <v>42</v>
      </c>
      <c r="C349" s="2">
        <v>5096</v>
      </c>
      <c r="D349" s="2">
        <v>33</v>
      </c>
      <c r="E349" s="2">
        <v>16</v>
      </c>
      <c r="F349" s="2">
        <v>16</v>
      </c>
      <c r="G349" s="2">
        <v>64686875</v>
      </c>
      <c r="H349" s="2">
        <v>131069.62</v>
      </c>
      <c r="I349" s="2" t="s">
        <v>40</v>
      </c>
    </row>
    <row r="350" spans="1:9">
      <c r="A350" s="3">
        <v>45717</v>
      </c>
      <c r="B350" s="2" t="s">
        <v>8</v>
      </c>
      <c r="C350" s="2">
        <v>10932</v>
      </c>
      <c r="D350" s="2">
        <v>2490</v>
      </c>
      <c r="E350" s="2">
        <v>2111</v>
      </c>
      <c r="F350" s="2">
        <v>2089</v>
      </c>
      <c r="G350" s="2">
        <v>77131480</v>
      </c>
      <c r="H350" s="2">
        <v>14716846.56</v>
      </c>
      <c r="I350" s="2" t="s">
        <v>38</v>
      </c>
    </row>
    <row r="351" spans="1:9">
      <c r="A351" s="3">
        <v>45870</v>
      </c>
      <c r="B351" s="2" t="s">
        <v>5</v>
      </c>
      <c r="C351" s="2">
        <v>1409</v>
      </c>
      <c r="D351" s="2">
        <v>820</v>
      </c>
      <c r="E351" s="2">
        <v>744</v>
      </c>
      <c r="F351" s="2">
        <v>736</v>
      </c>
      <c r="G351" s="2">
        <v>24263485</v>
      </c>
      <c r="H351" s="2">
        <v>8024790</v>
      </c>
      <c r="I351" s="2" t="s">
        <v>38</v>
      </c>
    </row>
    <row r="352" spans="1:9">
      <c r="A352" s="3">
        <v>45778</v>
      </c>
      <c r="B352" s="2" t="s">
        <v>6</v>
      </c>
      <c r="C352" s="2">
        <v>6614</v>
      </c>
      <c r="D352" s="2">
        <v>2908</v>
      </c>
      <c r="E352" s="2">
        <v>2751</v>
      </c>
      <c r="F352" s="2">
        <v>2730</v>
      </c>
      <c r="G352" s="2">
        <v>173492175</v>
      </c>
      <c r="H352" s="2">
        <v>45983977.72</v>
      </c>
      <c r="I352" s="2" t="s">
        <v>41</v>
      </c>
    </row>
    <row r="353" spans="1:9">
      <c r="A353" s="3">
        <v>45931</v>
      </c>
      <c r="B353" s="2" t="s">
        <v>8</v>
      </c>
      <c r="C353" s="2">
        <v>5279</v>
      </c>
      <c r="D353" s="2">
        <v>624</v>
      </c>
      <c r="E353" s="2">
        <v>478</v>
      </c>
      <c r="F353" s="2">
        <v>465</v>
      </c>
      <c r="G353" s="2">
        <v>45427040</v>
      </c>
      <c r="H353" s="2">
        <v>3447800</v>
      </c>
      <c r="I353" s="2" t="s">
        <v>41</v>
      </c>
    </row>
    <row r="354" spans="1:9">
      <c r="A354" s="3">
        <v>45870</v>
      </c>
      <c r="B354" s="2" t="s">
        <v>6</v>
      </c>
      <c r="C354" s="2">
        <v>7153</v>
      </c>
      <c r="D354" s="2">
        <v>3706</v>
      </c>
      <c r="E354" s="2">
        <v>3459</v>
      </c>
      <c r="F354" s="2">
        <v>3416</v>
      </c>
      <c r="G354" s="2">
        <v>174652765</v>
      </c>
      <c r="H354" s="2">
        <v>62503408.13</v>
      </c>
      <c r="I354" s="2" t="s">
        <v>35</v>
      </c>
    </row>
    <row r="355" spans="1:9">
      <c r="A355" s="3">
        <v>45689</v>
      </c>
      <c r="B355" s="2" t="s">
        <v>5</v>
      </c>
      <c r="C355" s="2">
        <v>12993</v>
      </c>
      <c r="D355" s="2">
        <v>6288</v>
      </c>
      <c r="E355" s="2">
        <v>6054</v>
      </c>
      <c r="F355" s="2">
        <v>6003</v>
      </c>
      <c r="G355" s="2">
        <v>257385265</v>
      </c>
      <c r="H355" s="2">
        <v>92534005</v>
      </c>
      <c r="I355" s="2" t="s">
        <v>43</v>
      </c>
    </row>
    <row r="356" spans="1:9">
      <c r="A356" s="3">
        <v>45962</v>
      </c>
      <c r="B356" s="2" t="s">
        <v>6</v>
      </c>
      <c r="C356" s="2">
        <v>5064</v>
      </c>
      <c r="D356" s="2">
        <v>2587</v>
      </c>
      <c r="E356" s="2">
        <v>2286</v>
      </c>
      <c r="F356" s="2">
        <v>2281</v>
      </c>
      <c r="G356" s="2">
        <v>73767100</v>
      </c>
      <c r="H356" s="2">
        <v>24305300</v>
      </c>
      <c r="I356" s="2" t="s">
        <v>37</v>
      </c>
    </row>
    <row r="357" spans="1:9">
      <c r="A357" s="3">
        <v>46082</v>
      </c>
      <c r="B357" s="2" t="s">
        <v>10</v>
      </c>
      <c r="C357" s="2">
        <v>281523</v>
      </c>
      <c r="D357" s="2">
        <v>40</v>
      </c>
      <c r="E357" s="2">
        <v>5</v>
      </c>
      <c r="F357" s="2">
        <v>5</v>
      </c>
      <c r="G357" s="2">
        <v>2245954645</v>
      </c>
      <c r="H357" s="2">
        <v>21200</v>
      </c>
      <c r="I357" s="2" t="s">
        <v>44</v>
      </c>
    </row>
    <row r="358" spans="1:9">
      <c r="A358" s="3">
        <v>45717</v>
      </c>
      <c r="B358" s="2" t="s">
        <v>7</v>
      </c>
      <c r="C358" s="2">
        <v>123625</v>
      </c>
      <c r="D358" s="2">
        <v>759</v>
      </c>
      <c r="E358" s="2">
        <v>278</v>
      </c>
      <c r="F358" s="2">
        <v>275</v>
      </c>
      <c r="G358" s="2">
        <v>1665581037</v>
      </c>
      <c r="H358" s="2">
        <v>2707326.2</v>
      </c>
      <c r="I358" s="2" t="s">
        <v>38</v>
      </c>
    </row>
    <row r="359" spans="1:9">
      <c r="A359" s="3">
        <v>45992</v>
      </c>
      <c r="B359" s="2" t="s">
        <v>9</v>
      </c>
      <c r="C359" s="2">
        <v>1421</v>
      </c>
      <c r="D359" s="2">
        <v>31</v>
      </c>
      <c r="E359" s="2">
        <v>20</v>
      </c>
      <c r="F359" s="2">
        <v>19</v>
      </c>
      <c r="G359" s="2">
        <v>12621435</v>
      </c>
      <c r="H359" s="2">
        <v>221500</v>
      </c>
      <c r="I359" s="2" t="s">
        <v>36</v>
      </c>
    </row>
    <row r="360" spans="1:9">
      <c r="A360" s="3">
        <v>45962</v>
      </c>
      <c r="B360" s="2" t="s">
        <v>9</v>
      </c>
      <c r="C360" s="2">
        <v>2388</v>
      </c>
      <c r="D360" s="2">
        <v>30</v>
      </c>
      <c r="E360" s="2">
        <v>13</v>
      </c>
      <c r="F360" s="2">
        <v>13</v>
      </c>
      <c r="G360" s="2">
        <v>16450355</v>
      </c>
      <c r="H360" s="2">
        <v>196800</v>
      </c>
      <c r="I360" s="2" t="s">
        <v>38</v>
      </c>
    </row>
    <row r="361" spans="1:9">
      <c r="A361" s="3">
        <v>45931</v>
      </c>
      <c r="B361" s="2" t="s">
        <v>6</v>
      </c>
      <c r="C361" s="2">
        <v>688</v>
      </c>
      <c r="D361" s="2">
        <v>315</v>
      </c>
      <c r="E361" s="2">
        <v>269</v>
      </c>
      <c r="F361" s="2">
        <v>263</v>
      </c>
      <c r="G361" s="2">
        <v>14302400</v>
      </c>
      <c r="H361" s="2">
        <v>4205000</v>
      </c>
      <c r="I361" s="2" t="s">
        <v>36</v>
      </c>
    </row>
    <row r="362" spans="1:9">
      <c r="A362" s="3">
        <v>45717</v>
      </c>
      <c r="B362" s="2" t="s">
        <v>8</v>
      </c>
      <c r="C362" s="2">
        <v>3689</v>
      </c>
      <c r="D362" s="2">
        <v>1202</v>
      </c>
      <c r="E362" s="2">
        <v>1040</v>
      </c>
      <c r="F362" s="2">
        <v>1037</v>
      </c>
      <c r="G362" s="2">
        <v>21913510</v>
      </c>
      <c r="H362" s="2">
        <v>5714181.51</v>
      </c>
      <c r="I362" s="2" t="s">
        <v>44</v>
      </c>
    </row>
    <row r="363" spans="1:9">
      <c r="A363" s="3">
        <v>46082</v>
      </c>
      <c r="B363" s="2" t="s">
        <v>7</v>
      </c>
      <c r="C363" s="2">
        <v>589555</v>
      </c>
      <c r="D363" s="2">
        <v>197</v>
      </c>
      <c r="E363" s="2">
        <v>155</v>
      </c>
      <c r="F363" s="2">
        <v>159</v>
      </c>
      <c r="G363" s="2">
        <v>15124865613</v>
      </c>
      <c r="H363" s="2">
        <v>3175700</v>
      </c>
      <c r="I363" s="2" t="s">
        <v>41</v>
      </c>
    </row>
    <row r="364" spans="1:9">
      <c r="A364" s="3">
        <v>45778</v>
      </c>
      <c r="B364" s="2" t="s">
        <v>6</v>
      </c>
      <c r="C364" s="2">
        <v>7318</v>
      </c>
      <c r="D364" s="2">
        <v>3631</v>
      </c>
      <c r="E364" s="2">
        <v>3316</v>
      </c>
      <c r="F364" s="2">
        <v>3286</v>
      </c>
      <c r="G364" s="2">
        <v>142217750</v>
      </c>
      <c r="H364" s="2">
        <v>46982343.35</v>
      </c>
      <c r="I364" s="2" t="s">
        <v>43</v>
      </c>
    </row>
    <row r="365" spans="1:9">
      <c r="A365" s="3">
        <v>46054</v>
      </c>
      <c r="B365" s="2" t="s">
        <v>42</v>
      </c>
      <c r="C365" s="2">
        <v>4193</v>
      </c>
      <c r="D365" s="2">
        <v>7</v>
      </c>
      <c r="E365" s="2">
        <v>6</v>
      </c>
      <c r="F365" s="2">
        <v>6</v>
      </c>
      <c r="G365" s="2">
        <v>71670005</v>
      </c>
      <c r="H365" s="2">
        <v>82000</v>
      </c>
      <c r="I365" s="2" t="s">
        <v>42</v>
      </c>
    </row>
    <row r="366" spans="1:9">
      <c r="A366" s="3">
        <v>45901</v>
      </c>
      <c r="B366" s="2" t="s">
        <v>8</v>
      </c>
      <c r="C366" s="2">
        <v>13880</v>
      </c>
      <c r="D366" s="2">
        <v>1266</v>
      </c>
      <c r="E366" s="2">
        <v>894</v>
      </c>
      <c r="F366" s="2">
        <v>883</v>
      </c>
      <c r="G366" s="2">
        <v>103675445</v>
      </c>
      <c r="H366" s="2">
        <v>5772086.71</v>
      </c>
      <c r="I366" s="2" t="s">
        <v>38</v>
      </c>
    </row>
    <row r="367" spans="1:9">
      <c r="A367" s="3">
        <v>46023</v>
      </c>
      <c r="B367" s="2" t="s">
        <v>7</v>
      </c>
      <c r="C367" s="2">
        <v>750167</v>
      </c>
      <c r="D367" s="2">
        <v>2355</v>
      </c>
      <c r="E367" s="2">
        <v>1498</v>
      </c>
      <c r="F367" s="2">
        <v>1484</v>
      </c>
      <c r="G367" s="2">
        <v>18181674206</v>
      </c>
      <c r="H367" s="2">
        <v>25875000</v>
      </c>
      <c r="I367" s="2" t="s">
        <v>35</v>
      </c>
    </row>
    <row r="368" spans="1:9">
      <c r="A368" s="3">
        <v>46082</v>
      </c>
      <c r="B368" s="2" t="s">
        <v>7</v>
      </c>
      <c r="C368" s="2">
        <v>268059</v>
      </c>
      <c r="D368" s="2">
        <v>63</v>
      </c>
      <c r="E368" s="2">
        <v>37</v>
      </c>
      <c r="F368" s="2">
        <v>40</v>
      </c>
      <c r="G368" s="2">
        <v>3347667071</v>
      </c>
      <c r="H368" s="2">
        <v>395600</v>
      </c>
      <c r="I368" s="2" t="s">
        <v>40</v>
      </c>
    </row>
    <row r="369" spans="1:9">
      <c r="A369" s="3">
        <v>45809</v>
      </c>
      <c r="B369" s="2" t="s">
        <v>7</v>
      </c>
      <c r="C369" s="2">
        <v>108498</v>
      </c>
      <c r="D369" s="2">
        <v>224</v>
      </c>
      <c r="E369" s="2">
        <v>86</v>
      </c>
      <c r="F369" s="2">
        <v>83</v>
      </c>
      <c r="G369" s="2">
        <v>1703695695</v>
      </c>
      <c r="H369" s="2">
        <v>486472.99</v>
      </c>
      <c r="I369" s="2" t="s">
        <v>39</v>
      </c>
    </row>
    <row r="370" spans="1:9">
      <c r="A370" s="3">
        <v>45870</v>
      </c>
      <c r="B370" s="2" t="s">
        <v>7</v>
      </c>
      <c r="C370" s="2">
        <v>109101</v>
      </c>
      <c r="D370" s="2">
        <v>155</v>
      </c>
      <c r="E370" s="2">
        <v>85</v>
      </c>
      <c r="F370" s="2">
        <v>84</v>
      </c>
      <c r="G370" s="2">
        <v>1714854815</v>
      </c>
      <c r="H370" s="2">
        <v>560581.9</v>
      </c>
      <c r="I370" s="2" t="s">
        <v>39</v>
      </c>
    </row>
    <row r="371" spans="1:9">
      <c r="A371" s="3">
        <v>45870</v>
      </c>
      <c r="B371" s="2" t="s">
        <v>5</v>
      </c>
      <c r="C371" s="2">
        <v>27949</v>
      </c>
      <c r="D371" s="2">
        <v>11260</v>
      </c>
      <c r="E371" s="2">
        <v>10944</v>
      </c>
      <c r="F371" s="2">
        <v>10811</v>
      </c>
      <c r="G371" s="2">
        <v>984288740</v>
      </c>
      <c r="H371" s="2">
        <v>260460540</v>
      </c>
      <c r="I371" s="2" t="s">
        <v>41</v>
      </c>
    </row>
    <row r="372" spans="1:9">
      <c r="A372" s="3">
        <v>45689</v>
      </c>
      <c r="B372" s="2" t="s">
        <v>7</v>
      </c>
      <c r="C372" s="2">
        <v>700106</v>
      </c>
      <c r="D372" s="2">
        <v>4569</v>
      </c>
      <c r="E372" s="2">
        <v>1978</v>
      </c>
      <c r="F372" s="2">
        <v>1969</v>
      </c>
      <c r="G372" s="2">
        <v>9889838824</v>
      </c>
      <c r="H372" s="2">
        <v>23423178.86</v>
      </c>
      <c r="I372" s="2" t="s">
        <v>37</v>
      </c>
    </row>
    <row r="373" spans="1:9">
      <c r="A373" s="3">
        <v>45870</v>
      </c>
      <c r="B373" s="2" t="s">
        <v>7</v>
      </c>
      <c r="C373" s="2">
        <v>169218</v>
      </c>
      <c r="D373" s="2">
        <v>560</v>
      </c>
      <c r="E373" s="2">
        <v>333</v>
      </c>
      <c r="F373" s="2">
        <v>334</v>
      </c>
      <c r="G373" s="2">
        <v>3279949309</v>
      </c>
      <c r="H373" s="2">
        <v>3452770.94</v>
      </c>
      <c r="I373" s="2" t="s">
        <v>36</v>
      </c>
    </row>
    <row r="374" spans="1:9">
      <c r="A374" s="3">
        <v>45778</v>
      </c>
      <c r="B374" s="2" t="s">
        <v>10</v>
      </c>
      <c r="C374" s="2">
        <v>226162</v>
      </c>
      <c r="D374" s="2">
        <v>16570</v>
      </c>
      <c r="E374" s="2">
        <v>6706</v>
      </c>
      <c r="F374" s="2">
        <v>6692</v>
      </c>
      <c r="G374" s="2">
        <v>1682088621</v>
      </c>
      <c r="H374" s="2">
        <v>35700879.17</v>
      </c>
      <c r="I374" s="2" t="s">
        <v>44</v>
      </c>
    </row>
    <row r="375" spans="1:9">
      <c r="A375" s="3">
        <v>46023</v>
      </c>
      <c r="B375" s="2" t="s">
        <v>42</v>
      </c>
      <c r="C375" s="2">
        <v>4200</v>
      </c>
      <c r="D375" s="2">
        <v>13</v>
      </c>
      <c r="E375" s="2">
        <v>13</v>
      </c>
      <c r="F375" s="2">
        <v>13</v>
      </c>
      <c r="G375" s="2">
        <v>71713905</v>
      </c>
      <c r="H375" s="2">
        <v>53900</v>
      </c>
      <c r="I375" s="2" t="s">
        <v>42</v>
      </c>
    </row>
    <row r="376" spans="1:9">
      <c r="A376" s="3">
        <v>45748</v>
      </c>
      <c r="B376" s="2" t="s">
        <v>9</v>
      </c>
      <c r="C376" s="2">
        <v>3482</v>
      </c>
      <c r="D376" s="2">
        <v>97</v>
      </c>
      <c r="E376" s="2">
        <v>45</v>
      </c>
      <c r="F376" s="2">
        <v>45</v>
      </c>
      <c r="G376" s="2">
        <v>25257891</v>
      </c>
      <c r="H376" s="2">
        <v>317600</v>
      </c>
      <c r="I376" s="2" t="s">
        <v>40</v>
      </c>
    </row>
    <row r="377" spans="1:9">
      <c r="A377" s="3">
        <v>45748</v>
      </c>
      <c r="B377" s="2" t="s">
        <v>8</v>
      </c>
      <c r="C377" s="2">
        <v>61980</v>
      </c>
      <c r="D377" s="2">
        <v>11809</v>
      </c>
      <c r="E377" s="2">
        <v>9749</v>
      </c>
      <c r="F377" s="2">
        <v>9577</v>
      </c>
      <c r="G377" s="2">
        <v>470598035</v>
      </c>
      <c r="H377" s="2">
        <v>68244508.38</v>
      </c>
      <c r="I377" s="2" t="s">
        <v>37</v>
      </c>
    </row>
    <row r="378" spans="1:9">
      <c r="A378" s="3">
        <v>45809</v>
      </c>
      <c r="B378" s="2" t="s">
        <v>8</v>
      </c>
      <c r="C378" s="2">
        <v>42306</v>
      </c>
      <c r="D378" s="2">
        <v>4612</v>
      </c>
      <c r="E378" s="2">
        <v>3795</v>
      </c>
      <c r="F378" s="2">
        <v>3721</v>
      </c>
      <c r="G378" s="2">
        <v>367351600</v>
      </c>
      <c r="H378" s="2">
        <v>28019830.98</v>
      </c>
      <c r="I378" s="2" t="s">
        <v>43</v>
      </c>
    </row>
    <row r="379" spans="1:9">
      <c r="A379" s="3">
        <v>45992</v>
      </c>
      <c r="B379" s="2" t="s">
        <v>5</v>
      </c>
      <c r="C379" s="2">
        <v>17371</v>
      </c>
      <c r="D379" s="2">
        <v>9872</v>
      </c>
      <c r="E379" s="2">
        <v>9221</v>
      </c>
      <c r="F379" s="2">
        <v>9157</v>
      </c>
      <c r="G379" s="2">
        <v>220053500</v>
      </c>
      <c r="H379" s="2">
        <v>86088700</v>
      </c>
      <c r="I379" s="2" t="s">
        <v>37</v>
      </c>
    </row>
    <row r="380" spans="1:9">
      <c r="A380" s="3">
        <v>45778</v>
      </c>
      <c r="B380" s="2" t="s">
        <v>8</v>
      </c>
      <c r="C380" s="2">
        <v>2719</v>
      </c>
      <c r="D380" s="2">
        <v>257</v>
      </c>
      <c r="E380" s="2">
        <v>183</v>
      </c>
      <c r="F380" s="2">
        <v>179</v>
      </c>
      <c r="G380" s="2">
        <v>22131740</v>
      </c>
      <c r="H380" s="2">
        <v>1250849.57</v>
      </c>
      <c r="I380" s="2" t="s">
        <v>39</v>
      </c>
    </row>
    <row r="381" spans="1:9">
      <c r="A381" s="3">
        <v>45931</v>
      </c>
      <c r="B381" s="2" t="s">
        <v>42</v>
      </c>
      <c r="C381" s="2">
        <v>5076</v>
      </c>
      <c r="D381" s="2">
        <v>27</v>
      </c>
      <c r="E381" s="2">
        <v>14</v>
      </c>
      <c r="F381" s="2">
        <v>13</v>
      </c>
      <c r="G381" s="2">
        <v>64689945</v>
      </c>
      <c r="H381" s="2">
        <v>97500</v>
      </c>
      <c r="I381" s="2" t="s">
        <v>40</v>
      </c>
    </row>
    <row r="382" spans="1:9">
      <c r="A382" s="3">
        <v>45931</v>
      </c>
      <c r="B382" s="2" t="s">
        <v>10</v>
      </c>
      <c r="C382" s="2">
        <v>273801</v>
      </c>
      <c r="D382" s="2">
        <v>13728</v>
      </c>
      <c r="E382" s="2">
        <v>3189</v>
      </c>
      <c r="F382" s="2">
        <v>3171</v>
      </c>
      <c r="G382" s="2">
        <v>2159520957</v>
      </c>
      <c r="H382" s="2">
        <v>20094468.8</v>
      </c>
      <c r="I382" s="2" t="s">
        <v>44</v>
      </c>
    </row>
    <row r="383" spans="1:9">
      <c r="A383" s="3">
        <v>45809</v>
      </c>
      <c r="B383" s="2" t="s">
        <v>5</v>
      </c>
      <c r="C383" s="2">
        <v>920</v>
      </c>
      <c r="D383" s="2">
        <v>441</v>
      </c>
      <c r="E383" s="2">
        <v>425</v>
      </c>
      <c r="F383" s="2">
        <v>415</v>
      </c>
      <c r="G383" s="2">
        <v>15997475</v>
      </c>
      <c r="H383" s="2">
        <v>5188160</v>
      </c>
      <c r="I383" s="2" t="s">
        <v>36</v>
      </c>
    </row>
    <row r="384" spans="1:9">
      <c r="A384" s="3">
        <v>45870</v>
      </c>
      <c r="B384" s="2" t="s">
        <v>7</v>
      </c>
      <c r="C384" s="2">
        <v>670465</v>
      </c>
      <c r="D384" s="2">
        <v>3045</v>
      </c>
      <c r="E384" s="2">
        <v>1916</v>
      </c>
      <c r="F384" s="2">
        <v>1907</v>
      </c>
      <c r="G384" s="2">
        <v>12341217269</v>
      </c>
      <c r="H384" s="2">
        <v>23959071.11</v>
      </c>
      <c r="I384" s="2" t="s">
        <v>43</v>
      </c>
    </row>
    <row r="385" spans="1:9">
      <c r="A385" s="3">
        <v>45689</v>
      </c>
      <c r="B385" s="2" t="s">
        <v>8</v>
      </c>
      <c r="C385" s="2">
        <v>16822</v>
      </c>
      <c r="D385" s="2">
        <v>2761</v>
      </c>
      <c r="E385" s="2">
        <v>2341</v>
      </c>
      <c r="F385" s="2">
        <v>2323</v>
      </c>
      <c r="G385" s="2">
        <v>130710655</v>
      </c>
      <c r="H385" s="2">
        <v>17091180.94</v>
      </c>
      <c r="I385" s="2" t="s">
        <v>35</v>
      </c>
    </row>
    <row r="386" spans="1:9">
      <c r="A386" s="3">
        <v>45962</v>
      </c>
      <c r="B386" s="2" t="s">
        <v>8</v>
      </c>
      <c r="C386" s="2">
        <v>8194</v>
      </c>
      <c r="D386" s="2">
        <v>2194</v>
      </c>
      <c r="E386" s="2">
        <v>1759</v>
      </c>
      <c r="F386" s="2">
        <v>1741</v>
      </c>
      <c r="G386" s="2">
        <v>43719575</v>
      </c>
      <c r="H386" s="2">
        <v>7036500</v>
      </c>
      <c r="I386" s="2" t="s">
        <v>44</v>
      </c>
    </row>
    <row r="387" spans="1:9">
      <c r="A387" s="3">
        <v>46023</v>
      </c>
      <c r="B387" s="2" t="s">
        <v>6</v>
      </c>
      <c r="C387" s="2">
        <v>469</v>
      </c>
      <c r="D387" s="2">
        <v>231</v>
      </c>
      <c r="E387" s="2">
        <v>216</v>
      </c>
      <c r="F387" s="2">
        <v>215</v>
      </c>
      <c r="G387" s="2">
        <v>7671800</v>
      </c>
      <c r="H387" s="2">
        <v>2509600</v>
      </c>
      <c r="I387" s="2" t="s">
        <v>36</v>
      </c>
    </row>
    <row r="388" spans="1:9">
      <c r="A388" s="3">
        <v>46023</v>
      </c>
      <c r="B388" s="2" t="s">
        <v>8</v>
      </c>
      <c r="C388" s="2">
        <v>79072</v>
      </c>
      <c r="D388" s="2">
        <v>4330</v>
      </c>
      <c r="E388" s="2">
        <v>2833</v>
      </c>
      <c r="F388" s="2">
        <v>2803</v>
      </c>
      <c r="G388" s="2">
        <v>594937320</v>
      </c>
      <c r="H388" s="2">
        <v>16859300</v>
      </c>
      <c r="I388" s="2" t="s">
        <v>37</v>
      </c>
    </row>
    <row r="389" spans="1:9">
      <c r="A389" s="3">
        <v>46023</v>
      </c>
      <c r="B389" s="2" t="s">
        <v>8</v>
      </c>
      <c r="C389" s="2">
        <v>16247</v>
      </c>
      <c r="D389" s="2">
        <v>993</v>
      </c>
      <c r="E389" s="2">
        <v>644</v>
      </c>
      <c r="F389" s="2">
        <v>639</v>
      </c>
      <c r="G389" s="2">
        <v>120131535</v>
      </c>
      <c r="H389" s="2">
        <v>3807400</v>
      </c>
      <c r="I389" s="2" t="s">
        <v>38</v>
      </c>
    </row>
    <row r="390" spans="1:9">
      <c r="A390" s="3">
        <v>45962</v>
      </c>
      <c r="B390" s="2" t="s">
        <v>9</v>
      </c>
      <c r="C390" s="2">
        <v>1022</v>
      </c>
      <c r="D390" s="2">
        <v>13</v>
      </c>
      <c r="E390" s="2">
        <v>9</v>
      </c>
      <c r="F390" s="2">
        <v>9</v>
      </c>
      <c r="G390" s="2">
        <v>7580900</v>
      </c>
      <c r="H390" s="2">
        <v>76300</v>
      </c>
      <c r="I390" s="2" t="s">
        <v>39</v>
      </c>
    </row>
    <row r="391" spans="1:9">
      <c r="A391" s="3">
        <v>45992</v>
      </c>
      <c r="B391" s="2" t="s">
        <v>5</v>
      </c>
      <c r="C391" s="2">
        <v>4215</v>
      </c>
      <c r="D391" s="2">
        <v>2225</v>
      </c>
      <c r="E391" s="2">
        <v>2072</v>
      </c>
      <c r="F391" s="2">
        <v>2058</v>
      </c>
      <c r="G391" s="2">
        <v>63363300</v>
      </c>
      <c r="H391" s="2">
        <v>23411300</v>
      </c>
      <c r="I391" s="2" t="s">
        <v>40</v>
      </c>
    </row>
    <row r="392" spans="1:9">
      <c r="A392" s="3">
        <v>45992</v>
      </c>
      <c r="B392" s="2" t="s">
        <v>8</v>
      </c>
      <c r="C392" s="2">
        <v>78054</v>
      </c>
      <c r="D392" s="2">
        <v>4718</v>
      </c>
      <c r="E392" s="2">
        <v>3519</v>
      </c>
      <c r="F392" s="2">
        <v>3430</v>
      </c>
      <c r="G392" s="2">
        <v>599841540</v>
      </c>
      <c r="H392" s="2">
        <v>23797100</v>
      </c>
      <c r="I392" s="2" t="s">
        <v>37</v>
      </c>
    </row>
    <row r="393" spans="1:9">
      <c r="A393" s="3">
        <v>45992</v>
      </c>
      <c r="B393" s="2" t="s">
        <v>7</v>
      </c>
      <c r="C393" s="2">
        <v>109593</v>
      </c>
      <c r="D393" s="2">
        <v>61</v>
      </c>
      <c r="E393" s="2">
        <v>32</v>
      </c>
      <c r="F393" s="2">
        <v>31</v>
      </c>
      <c r="G393" s="2">
        <v>1725053480</v>
      </c>
      <c r="H393" s="2">
        <v>255500</v>
      </c>
      <c r="I393" s="2" t="s">
        <v>39</v>
      </c>
    </row>
    <row r="394" spans="1:9">
      <c r="A394" s="3">
        <v>45962</v>
      </c>
      <c r="B394" s="2" t="s">
        <v>7</v>
      </c>
      <c r="C394" s="2">
        <v>735528</v>
      </c>
      <c r="D394" s="2">
        <v>3255</v>
      </c>
      <c r="E394" s="2">
        <v>2197</v>
      </c>
      <c r="F394" s="2">
        <v>2167</v>
      </c>
      <c r="G394" s="2">
        <v>17806814051</v>
      </c>
      <c r="H394" s="2">
        <v>39414800</v>
      </c>
      <c r="I394" s="2" t="s">
        <v>35</v>
      </c>
    </row>
    <row r="395" spans="1:9">
      <c r="A395" s="3">
        <v>45778</v>
      </c>
      <c r="B395" s="2" t="s">
        <v>9</v>
      </c>
      <c r="C395" s="2">
        <v>3565</v>
      </c>
      <c r="D395" s="2">
        <v>97</v>
      </c>
      <c r="E395" s="2">
        <v>41</v>
      </c>
      <c r="F395" s="2">
        <v>41</v>
      </c>
      <c r="G395" s="2">
        <v>25735836</v>
      </c>
      <c r="H395" s="2">
        <v>248800</v>
      </c>
      <c r="I395" s="2" t="s">
        <v>40</v>
      </c>
    </row>
    <row r="396" spans="1:9">
      <c r="A396" s="3">
        <v>45962</v>
      </c>
      <c r="B396" s="2" t="s">
        <v>8</v>
      </c>
      <c r="C396" s="2">
        <v>26755</v>
      </c>
      <c r="D396" s="2">
        <v>2443</v>
      </c>
      <c r="E396" s="2">
        <v>2100</v>
      </c>
      <c r="F396" s="2">
        <v>2058</v>
      </c>
      <c r="G396" s="2">
        <v>249408675</v>
      </c>
      <c r="H396" s="2">
        <v>15237700</v>
      </c>
      <c r="I396" s="2" t="s">
        <v>35</v>
      </c>
    </row>
    <row r="397" spans="1:9">
      <c r="A397" s="3">
        <v>45992</v>
      </c>
      <c r="B397" s="2" t="s">
        <v>7</v>
      </c>
      <c r="C397" s="2">
        <v>6107</v>
      </c>
      <c r="D397" s="2">
        <v>23</v>
      </c>
      <c r="E397" s="2">
        <v>7</v>
      </c>
      <c r="F397" s="2">
        <v>7</v>
      </c>
      <c r="G397" s="2">
        <v>79464150</v>
      </c>
      <c r="H397" s="2">
        <v>66400</v>
      </c>
      <c r="I397" s="2" t="s">
        <v>42</v>
      </c>
    </row>
    <row r="398" spans="1:9">
      <c r="A398" s="3">
        <v>45931</v>
      </c>
      <c r="B398" s="2" t="s">
        <v>7</v>
      </c>
      <c r="C398" s="2">
        <v>128117</v>
      </c>
      <c r="D398" s="2">
        <v>419</v>
      </c>
      <c r="E398" s="2">
        <v>204</v>
      </c>
      <c r="F398" s="2">
        <v>199</v>
      </c>
      <c r="G398" s="2">
        <v>1749032207</v>
      </c>
      <c r="H398" s="2">
        <v>1993726.8</v>
      </c>
      <c r="I398" s="2" t="s">
        <v>38</v>
      </c>
    </row>
    <row r="399" spans="1:9">
      <c r="A399" s="3">
        <v>45717</v>
      </c>
      <c r="B399" s="2" t="s">
        <v>7</v>
      </c>
      <c r="C399" s="2">
        <v>107357</v>
      </c>
      <c r="D399" s="2">
        <v>235</v>
      </c>
      <c r="E399" s="2">
        <v>87</v>
      </c>
      <c r="F399" s="2">
        <v>82</v>
      </c>
      <c r="G399" s="2">
        <v>1684108650</v>
      </c>
      <c r="H399" s="2">
        <v>533881.7</v>
      </c>
      <c r="I399" s="2" t="s">
        <v>39</v>
      </c>
    </row>
    <row r="400" spans="1:9">
      <c r="A400" s="3">
        <v>45748</v>
      </c>
      <c r="B400" s="2" t="s">
        <v>6</v>
      </c>
      <c r="C400" s="2">
        <v>5872</v>
      </c>
      <c r="D400" s="2">
        <v>2728</v>
      </c>
      <c r="E400" s="2">
        <v>2481</v>
      </c>
      <c r="F400" s="2">
        <v>2448</v>
      </c>
      <c r="G400" s="2">
        <v>147673060</v>
      </c>
      <c r="H400" s="2">
        <v>43133169.95</v>
      </c>
      <c r="I400" s="2" t="s">
        <v>35</v>
      </c>
    </row>
    <row r="401" spans="1:9">
      <c r="A401" s="3">
        <v>45809</v>
      </c>
      <c r="B401" s="2" t="s">
        <v>10</v>
      </c>
      <c r="C401" s="2">
        <v>237059</v>
      </c>
      <c r="D401" s="2">
        <v>15730</v>
      </c>
      <c r="E401" s="2">
        <v>6464</v>
      </c>
      <c r="F401" s="2">
        <v>6431</v>
      </c>
      <c r="G401" s="2">
        <v>1783915171</v>
      </c>
      <c r="H401" s="2">
        <v>33108592.24</v>
      </c>
      <c r="I401" s="2" t="s">
        <v>44</v>
      </c>
    </row>
    <row r="402" spans="1:9">
      <c r="A402" s="3">
        <v>46023</v>
      </c>
      <c r="B402" s="2" t="s">
        <v>9</v>
      </c>
      <c r="C402" s="2">
        <v>388</v>
      </c>
      <c r="D402" s="2">
        <v>13</v>
      </c>
      <c r="E402" s="2">
        <v>8</v>
      </c>
      <c r="F402" s="2">
        <v>8</v>
      </c>
      <c r="G402" s="2">
        <v>3060565</v>
      </c>
      <c r="H402" s="2">
        <v>83800</v>
      </c>
      <c r="I402" s="2" t="s">
        <v>42</v>
      </c>
    </row>
    <row r="403" spans="1:9">
      <c r="A403" s="3">
        <v>46082</v>
      </c>
      <c r="B403" s="2" t="s">
        <v>5</v>
      </c>
      <c r="C403" s="2">
        <v>551</v>
      </c>
      <c r="D403" s="2">
        <v>164</v>
      </c>
      <c r="E403" s="2">
        <v>156</v>
      </c>
      <c r="F403" s="2">
        <v>155</v>
      </c>
      <c r="G403" s="2">
        <v>22569400</v>
      </c>
      <c r="H403" s="2">
        <v>4542200</v>
      </c>
      <c r="I403" s="2" t="s">
        <v>41</v>
      </c>
    </row>
    <row r="404" spans="1:9">
      <c r="A404" s="3">
        <v>45901</v>
      </c>
      <c r="B404" s="2" t="s">
        <v>7</v>
      </c>
      <c r="C404" s="2">
        <v>711971</v>
      </c>
      <c r="D404" s="2">
        <v>4069</v>
      </c>
      <c r="E404" s="2">
        <v>2839</v>
      </c>
      <c r="F404" s="2">
        <v>2838</v>
      </c>
      <c r="G404" s="2">
        <v>17051045041</v>
      </c>
      <c r="H404" s="2">
        <v>50386804.94</v>
      </c>
      <c r="I404" s="2" t="s">
        <v>35</v>
      </c>
    </row>
    <row r="405" spans="1:9">
      <c r="A405" s="3">
        <v>45931</v>
      </c>
      <c r="B405" s="2" t="s">
        <v>42</v>
      </c>
      <c r="C405" s="2">
        <v>4184</v>
      </c>
      <c r="D405" s="2">
        <v>13</v>
      </c>
      <c r="E405" s="2">
        <v>9</v>
      </c>
      <c r="F405" s="2">
        <v>9</v>
      </c>
      <c r="G405" s="2">
        <v>71468805</v>
      </c>
      <c r="H405" s="2">
        <v>89400</v>
      </c>
      <c r="I405" s="2" t="s">
        <v>42</v>
      </c>
    </row>
    <row r="406" spans="1:9">
      <c r="A406" s="3">
        <v>45748</v>
      </c>
      <c r="B406" s="2" t="s">
        <v>8</v>
      </c>
      <c r="C406" s="2">
        <v>8870</v>
      </c>
      <c r="D406" s="2">
        <v>1772</v>
      </c>
      <c r="E406" s="2">
        <v>1440</v>
      </c>
      <c r="F406" s="2">
        <v>1420</v>
      </c>
      <c r="G406" s="2">
        <v>58510700</v>
      </c>
      <c r="H406" s="2">
        <v>8940232.99</v>
      </c>
      <c r="I406" s="2" t="s">
        <v>40</v>
      </c>
    </row>
    <row r="407" spans="1:9">
      <c r="A407" s="3">
        <v>45658</v>
      </c>
      <c r="B407" s="2" t="s">
        <v>10</v>
      </c>
      <c r="C407" s="2">
        <v>183474</v>
      </c>
      <c r="D407" s="2">
        <v>16063</v>
      </c>
      <c r="E407" s="2">
        <v>5821</v>
      </c>
      <c r="F407" s="2">
        <v>5843</v>
      </c>
      <c r="G407" s="2">
        <v>1279829952</v>
      </c>
      <c r="H407" s="2">
        <v>38847991.69</v>
      </c>
      <c r="I407" s="2" t="s">
        <v>44</v>
      </c>
    </row>
    <row r="408" spans="1:9">
      <c r="A408" s="3">
        <v>45901</v>
      </c>
      <c r="B408" s="2" t="s">
        <v>8</v>
      </c>
      <c r="C408" s="2">
        <v>4867</v>
      </c>
      <c r="D408" s="2">
        <v>475</v>
      </c>
      <c r="E408" s="2">
        <v>343</v>
      </c>
      <c r="F408" s="2">
        <v>336</v>
      </c>
      <c r="G408" s="2">
        <v>41769650</v>
      </c>
      <c r="H408" s="2">
        <v>2528726.98</v>
      </c>
      <c r="I408" s="2" t="s">
        <v>41</v>
      </c>
    </row>
    <row r="409" spans="1:9">
      <c r="A409" s="3">
        <v>45689</v>
      </c>
      <c r="B409" s="2" t="s">
        <v>7</v>
      </c>
      <c r="C409" s="2">
        <v>5421</v>
      </c>
      <c r="D409" s="2">
        <v>40</v>
      </c>
      <c r="E409" s="2">
        <v>12</v>
      </c>
      <c r="F409" s="2">
        <v>12</v>
      </c>
      <c r="G409" s="2">
        <v>66137195</v>
      </c>
      <c r="H409" s="2">
        <v>72600</v>
      </c>
      <c r="I409" s="2" t="s">
        <v>42</v>
      </c>
    </row>
    <row r="410" spans="1:9">
      <c r="A410" s="3">
        <v>45658</v>
      </c>
      <c r="B410" s="2" t="s">
        <v>7</v>
      </c>
      <c r="C410" s="2">
        <v>5350</v>
      </c>
      <c r="D410" s="2">
        <v>61</v>
      </c>
      <c r="E410" s="2">
        <v>10</v>
      </c>
      <c r="F410" s="2">
        <v>10</v>
      </c>
      <c r="G410" s="2">
        <v>64660350</v>
      </c>
      <c r="H410" s="2">
        <v>218500</v>
      </c>
      <c r="I410" s="2" t="s">
        <v>42</v>
      </c>
    </row>
    <row r="411" spans="1:9">
      <c r="A411" s="3">
        <v>46023</v>
      </c>
      <c r="B411" s="2" t="s">
        <v>8</v>
      </c>
      <c r="C411" s="2">
        <v>3379</v>
      </c>
      <c r="D411" s="2">
        <v>133</v>
      </c>
      <c r="E411" s="2">
        <v>87</v>
      </c>
      <c r="F411" s="2">
        <v>84</v>
      </c>
      <c r="G411" s="2">
        <v>28007745</v>
      </c>
      <c r="H411" s="2">
        <v>383600</v>
      </c>
      <c r="I411" s="2" t="s">
        <v>39</v>
      </c>
    </row>
    <row r="412" spans="1:9">
      <c r="A412" s="3">
        <v>45839</v>
      </c>
      <c r="B412" s="2" t="s">
        <v>8</v>
      </c>
      <c r="C412" s="2">
        <v>4574</v>
      </c>
      <c r="D412" s="2">
        <v>521</v>
      </c>
      <c r="E412" s="2">
        <v>428</v>
      </c>
      <c r="F412" s="2">
        <v>413</v>
      </c>
      <c r="G412" s="2">
        <v>39378785</v>
      </c>
      <c r="H412" s="2">
        <v>3552951.48</v>
      </c>
      <c r="I412" s="2" t="s">
        <v>41</v>
      </c>
    </row>
    <row r="413" spans="1:9">
      <c r="A413" s="3">
        <v>46023</v>
      </c>
      <c r="B413" s="2" t="s">
        <v>42</v>
      </c>
      <c r="C413" s="2">
        <v>5062</v>
      </c>
      <c r="D413" s="2">
        <v>8</v>
      </c>
      <c r="E413" s="2">
        <v>5</v>
      </c>
      <c r="F413" s="2">
        <v>5</v>
      </c>
      <c r="G413" s="2">
        <v>64473845</v>
      </c>
      <c r="H413" s="2">
        <v>75000</v>
      </c>
      <c r="I413" s="2" t="s">
        <v>40</v>
      </c>
    </row>
    <row r="414" spans="1:9">
      <c r="A414" s="3">
        <v>45658</v>
      </c>
      <c r="B414" s="2" t="s">
        <v>7</v>
      </c>
      <c r="C414" s="2">
        <v>373598</v>
      </c>
      <c r="D414" s="2">
        <v>3451</v>
      </c>
      <c r="E414" s="2">
        <v>1831</v>
      </c>
      <c r="F414" s="2">
        <v>1907</v>
      </c>
      <c r="G414" s="2">
        <v>7678862338</v>
      </c>
      <c r="H414" s="2">
        <v>34425213.23</v>
      </c>
      <c r="I414" s="2" t="s">
        <v>41</v>
      </c>
    </row>
    <row r="415" spans="1:9">
      <c r="A415" s="3">
        <v>46023</v>
      </c>
      <c r="B415" s="2" t="s">
        <v>7</v>
      </c>
      <c r="C415" s="2">
        <v>129734</v>
      </c>
      <c r="D415" s="2">
        <v>283</v>
      </c>
      <c r="E415" s="2">
        <v>153</v>
      </c>
      <c r="F415" s="2">
        <v>146</v>
      </c>
      <c r="G415" s="2">
        <v>1774640402</v>
      </c>
      <c r="H415" s="2">
        <v>1641500</v>
      </c>
      <c r="I415" s="2" t="s">
        <v>38</v>
      </c>
    </row>
    <row r="416" spans="1:9">
      <c r="A416" s="3">
        <v>45658</v>
      </c>
      <c r="B416" s="2" t="s">
        <v>5</v>
      </c>
      <c r="C416" s="2">
        <v>19380</v>
      </c>
      <c r="D416" s="2">
        <v>10812</v>
      </c>
      <c r="E416" s="2">
        <v>10481</v>
      </c>
      <c r="F416" s="2">
        <v>10386</v>
      </c>
      <c r="G416" s="2">
        <v>388744430</v>
      </c>
      <c r="H416" s="2">
        <v>165370202</v>
      </c>
      <c r="I416" s="2" t="s">
        <v>43</v>
      </c>
    </row>
    <row r="417" spans="1:9">
      <c r="A417" s="3">
        <v>45717</v>
      </c>
      <c r="B417" s="2" t="s">
        <v>9</v>
      </c>
      <c r="C417" s="2">
        <v>5491</v>
      </c>
      <c r="D417" s="2">
        <v>179</v>
      </c>
      <c r="E417" s="2">
        <v>111</v>
      </c>
      <c r="F417" s="2">
        <v>111</v>
      </c>
      <c r="G417" s="2">
        <v>47137410</v>
      </c>
      <c r="H417" s="2">
        <v>814300</v>
      </c>
      <c r="I417" s="2" t="s">
        <v>35</v>
      </c>
    </row>
    <row r="418" spans="1:9">
      <c r="A418" s="3">
        <v>45778</v>
      </c>
      <c r="B418" s="2" t="s">
        <v>9</v>
      </c>
      <c r="C418" s="2">
        <v>2840</v>
      </c>
      <c r="D418" s="2">
        <v>43</v>
      </c>
      <c r="E418" s="2">
        <v>21</v>
      </c>
      <c r="F418" s="2">
        <v>21</v>
      </c>
      <c r="G418" s="2">
        <v>22159810</v>
      </c>
      <c r="H418" s="2">
        <v>144000</v>
      </c>
      <c r="I418" s="2" t="s">
        <v>41</v>
      </c>
    </row>
    <row r="419" spans="1:9">
      <c r="A419" s="3">
        <v>45748</v>
      </c>
      <c r="B419" s="2" t="s">
        <v>7</v>
      </c>
      <c r="C419" s="2">
        <v>718131</v>
      </c>
      <c r="D419" s="2">
        <v>5278</v>
      </c>
      <c r="E419" s="2">
        <v>2320</v>
      </c>
      <c r="F419" s="2">
        <v>2306</v>
      </c>
      <c r="G419" s="2">
        <v>10277285509</v>
      </c>
      <c r="H419" s="2">
        <v>25420818.27</v>
      </c>
      <c r="I419" s="2" t="s">
        <v>37</v>
      </c>
    </row>
    <row r="420" spans="1:9">
      <c r="A420" s="3">
        <v>46082</v>
      </c>
      <c r="B420" s="2" t="s">
        <v>8</v>
      </c>
      <c r="C420" s="2">
        <v>8912</v>
      </c>
      <c r="D420" s="2">
        <v>28</v>
      </c>
      <c r="E420" s="2">
        <v>14</v>
      </c>
      <c r="F420" s="2">
        <v>13</v>
      </c>
      <c r="G420" s="2">
        <v>74279650</v>
      </c>
      <c r="H420" s="2">
        <v>51000</v>
      </c>
      <c r="I420" s="2" t="s">
        <v>36</v>
      </c>
    </row>
    <row r="421" spans="1:9">
      <c r="A421" s="3">
        <v>46054</v>
      </c>
      <c r="B421" s="2" t="s">
        <v>9</v>
      </c>
      <c r="C421" s="2">
        <v>6046</v>
      </c>
      <c r="D421" s="2">
        <v>27</v>
      </c>
      <c r="E421" s="2">
        <v>10</v>
      </c>
      <c r="F421" s="2">
        <v>10</v>
      </c>
      <c r="G421" s="2">
        <v>53903575</v>
      </c>
      <c r="H421" s="2">
        <v>77100</v>
      </c>
      <c r="I421" s="2" t="s">
        <v>35</v>
      </c>
    </row>
    <row r="422" spans="1:9">
      <c r="A422" s="3">
        <v>45901</v>
      </c>
      <c r="B422" s="2" t="s">
        <v>10</v>
      </c>
      <c r="C422" s="2">
        <v>26</v>
      </c>
      <c r="D422" s="2">
        <v>8</v>
      </c>
      <c r="E422" s="2">
        <v>4</v>
      </c>
      <c r="F422" s="2">
        <v>4</v>
      </c>
      <c r="G422" s="2">
        <v>276100</v>
      </c>
      <c r="H422" s="2">
        <v>45400</v>
      </c>
      <c r="I422" s="2" t="s">
        <v>42</v>
      </c>
    </row>
    <row r="423" spans="1:9">
      <c r="A423" s="3">
        <v>45901</v>
      </c>
      <c r="B423" s="2" t="s">
        <v>8</v>
      </c>
      <c r="C423" s="2">
        <v>5677</v>
      </c>
      <c r="D423" s="2">
        <v>1202</v>
      </c>
      <c r="E423" s="2">
        <v>876</v>
      </c>
      <c r="F423" s="2">
        <v>867</v>
      </c>
      <c r="G423" s="2">
        <v>32812615</v>
      </c>
      <c r="H423" s="2">
        <v>3627553.02</v>
      </c>
      <c r="I423" s="2" t="s">
        <v>44</v>
      </c>
    </row>
    <row r="424" spans="1:9">
      <c r="A424" s="3">
        <v>45658</v>
      </c>
      <c r="B424" s="2" t="s">
        <v>9</v>
      </c>
      <c r="C424" s="2">
        <v>3038</v>
      </c>
      <c r="D424" s="2">
        <v>284</v>
      </c>
      <c r="E424" s="2">
        <v>139</v>
      </c>
      <c r="F424" s="2">
        <v>139</v>
      </c>
      <c r="G424" s="2">
        <v>16247640</v>
      </c>
      <c r="H424" s="2">
        <v>683200</v>
      </c>
      <c r="I424" s="2" t="s">
        <v>44</v>
      </c>
    </row>
    <row r="425" spans="1:9">
      <c r="A425" s="3">
        <v>45778</v>
      </c>
      <c r="B425" s="2" t="s">
        <v>8</v>
      </c>
      <c r="C425" s="2">
        <v>7287</v>
      </c>
      <c r="D425" s="2">
        <v>959</v>
      </c>
      <c r="E425" s="2">
        <v>750</v>
      </c>
      <c r="F425" s="2">
        <v>743</v>
      </c>
      <c r="G425" s="2">
        <v>61644010</v>
      </c>
      <c r="H425" s="2">
        <v>5676546.62</v>
      </c>
      <c r="I425" s="2" t="s">
        <v>36</v>
      </c>
    </row>
    <row r="426" spans="1:9">
      <c r="A426" s="3">
        <v>46054</v>
      </c>
      <c r="B426" s="2" t="s">
        <v>5</v>
      </c>
      <c r="C426" s="2">
        <v>3135</v>
      </c>
      <c r="D426" s="2">
        <v>1785</v>
      </c>
      <c r="E426" s="2">
        <v>1717</v>
      </c>
      <c r="F426" s="2">
        <v>1712</v>
      </c>
      <c r="G426" s="2">
        <v>46448300</v>
      </c>
      <c r="H426" s="2">
        <v>20702000</v>
      </c>
      <c r="I426" s="2" t="s">
        <v>40</v>
      </c>
    </row>
    <row r="427" spans="1:9">
      <c r="A427" s="3">
        <v>45870</v>
      </c>
      <c r="B427" s="2" t="s">
        <v>10</v>
      </c>
      <c r="C427" s="2">
        <v>254868</v>
      </c>
      <c r="D427" s="2">
        <v>12522</v>
      </c>
      <c r="E427" s="2">
        <v>5088</v>
      </c>
      <c r="F427" s="2">
        <v>5072</v>
      </c>
      <c r="G427" s="2">
        <v>1960797657</v>
      </c>
      <c r="H427" s="2">
        <v>29042744.37</v>
      </c>
      <c r="I427" s="2" t="s">
        <v>44</v>
      </c>
    </row>
    <row r="428" spans="1:9">
      <c r="A428" s="3">
        <v>45809</v>
      </c>
      <c r="B428" s="2" t="s">
        <v>6</v>
      </c>
      <c r="C428" s="2">
        <v>6901</v>
      </c>
      <c r="D428" s="2">
        <v>3342</v>
      </c>
      <c r="E428" s="2">
        <v>3110</v>
      </c>
      <c r="F428" s="2">
        <v>3063</v>
      </c>
      <c r="G428" s="2">
        <v>134204485</v>
      </c>
      <c r="H428" s="2">
        <v>43690818.16</v>
      </c>
      <c r="I428" s="2" t="s">
        <v>43</v>
      </c>
    </row>
    <row r="429" spans="1:9">
      <c r="A429" s="3">
        <v>45689</v>
      </c>
      <c r="B429" s="2" t="s">
        <v>9</v>
      </c>
      <c r="C429" s="2">
        <v>2072</v>
      </c>
      <c r="D429" s="2">
        <v>52</v>
      </c>
      <c r="E429" s="2">
        <v>28</v>
      </c>
      <c r="F429" s="2">
        <v>28</v>
      </c>
      <c r="G429" s="2">
        <v>13661265</v>
      </c>
      <c r="H429" s="2">
        <v>124400</v>
      </c>
      <c r="I429" s="2" t="s">
        <v>38</v>
      </c>
    </row>
    <row r="430" spans="1:9">
      <c r="A430" s="3">
        <v>45658</v>
      </c>
      <c r="B430" s="2" t="s">
        <v>6</v>
      </c>
      <c r="C430" s="2">
        <v>773</v>
      </c>
      <c r="D430" s="2">
        <v>456</v>
      </c>
      <c r="E430" s="2">
        <v>400</v>
      </c>
      <c r="F430" s="2">
        <v>394</v>
      </c>
      <c r="G430" s="2">
        <v>11150705</v>
      </c>
      <c r="H430" s="2">
        <v>4237213.6</v>
      </c>
      <c r="I430" s="2" t="s">
        <v>38</v>
      </c>
    </row>
    <row r="431" spans="1:9">
      <c r="A431" s="3">
        <v>45658</v>
      </c>
      <c r="B431" s="2" t="s">
        <v>6</v>
      </c>
      <c r="C431" s="2">
        <v>8883</v>
      </c>
      <c r="D431" s="2">
        <v>4977</v>
      </c>
      <c r="E431" s="2">
        <v>4558</v>
      </c>
      <c r="F431" s="2">
        <v>4512</v>
      </c>
      <c r="G431" s="2">
        <v>169316420</v>
      </c>
      <c r="H431" s="2">
        <v>68947377.58</v>
      </c>
      <c r="I431" s="2" t="s">
        <v>43</v>
      </c>
    </row>
    <row r="432" spans="1:9">
      <c r="A432" s="3">
        <v>45748</v>
      </c>
      <c r="B432" s="2" t="s">
        <v>9</v>
      </c>
      <c r="C432" s="2">
        <v>984</v>
      </c>
      <c r="D432" s="2">
        <v>16</v>
      </c>
      <c r="E432" s="2">
        <v>8</v>
      </c>
      <c r="F432" s="2">
        <v>8</v>
      </c>
      <c r="G432" s="2">
        <v>7143510</v>
      </c>
      <c r="H432" s="2">
        <v>43300</v>
      </c>
      <c r="I432" s="2" t="s">
        <v>39</v>
      </c>
    </row>
    <row r="433" spans="1:9">
      <c r="A433" s="3">
        <v>45962</v>
      </c>
      <c r="B433" s="2" t="s">
        <v>8</v>
      </c>
      <c r="C433" s="2">
        <v>80539</v>
      </c>
      <c r="D433" s="2">
        <v>8823</v>
      </c>
      <c r="E433" s="2">
        <v>7268</v>
      </c>
      <c r="F433" s="2">
        <v>7133</v>
      </c>
      <c r="G433" s="2">
        <v>614997570</v>
      </c>
      <c r="H433" s="2">
        <v>46166900</v>
      </c>
      <c r="I433" s="2" t="s">
        <v>37</v>
      </c>
    </row>
    <row r="434" spans="1:9">
      <c r="A434" s="3">
        <v>45717</v>
      </c>
      <c r="B434" s="2" t="s">
        <v>9</v>
      </c>
      <c r="C434" s="2">
        <v>2159</v>
      </c>
      <c r="D434" s="2">
        <v>63</v>
      </c>
      <c r="E434" s="2">
        <v>33</v>
      </c>
      <c r="F434" s="2">
        <v>33</v>
      </c>
      <c r="G434" s="2">
        <v>14358565</v>
      </c>
      <c r="H434" s="2">
        <v>184200</v>
      </c>
      <c r="I434" s="2" t="s">
        <v>38</v>
      </c>
    </row>
    <row r="435" spans="1:9">
      <c r="A435" s="3">
        <v>46082</v>
      </c>
      <c r="B435" s="2" t="s">
        <v>9</v>
      </c>
      <c r="C435" s="2">
        <v>3662</v>
      </c>
      <c r="D435" s="2">
        <v>0</v>
      </c>
      <c r="E435" s="2" t="s">
        <v>45</v>
      </c>
      <c r="F435" s="2">
        <v>0</v>
      </c>
      <c r="G435" s="2">
        <v>26717411</v>
      </c>
      <c r="H435" s="2" t="s">
        <v>45</v>
      </c>
      <c r="I435" s="2" t="s">
        <v>40</v>
      </c>
    </row>
    <row r="436" spans="1:9">
      <c r="A436" s="3">
        <v>45748</v>
      </c>
      <c r="B436" s="2" t="s">
        <v>7</v>
      </c>
      <c r="C436" s="2">
        <v>107765</v>
      </c>
      <c r="D436" s="2">
        <v>247</v>
      </c>
      <c r="E436" s="2">
        <v>98</v>
      </c>
      <c r="F436" s="2">
        <v>98</v>
      </c>
      <c r="G436" s="2">
        <v>1690957340</v>
      </c>
      <c r="H436" s="2">
        <v>674759.78</v>
      </c>
      <c r="I436" s="2" t="s">
        <v>39</v>
      </c>
    </row>
    <row r="437" spans="1:9">
      <c r="A437" s="3">
        <v>45901</v>
      </c>
      <c r="B437" s="2" t="s">
        <v>7</v>
      </c>
      <c r="C437" s="2">
        <v>170027</v>
      </c>
      <c r="D437" s="2">
        <v>521</v>
      </c>
      <c r="E437" s="2">
        <v>286</v>
      </c>
      <c r="F437" s="2">
        <v>284</v>
      </c>
      <c r="G437" s="2">
        <v>3298771774</v>
      </c>
      <c r="H437" s="2">
        <v>3472745.96</v>
      </c>
      <c r="I437" s="2" t="s">
        <v>36</v>
      </c>
    </row>
    <row r="438" spans="1:9">
      <c r="A438" s="3">
        <v>46054</v>
      </c>
      <c r="B438" s="2" t="s">
        <v>6</v>
      </c>
      <c r="C438" s="2">
        <v>558</v>
      </c>
      <c r="D438" s="2">
        <v>306</v>
      </c>
      <c r="E438" s="2">
        <v>297</v>
      </c>
      <c r="F438" s="2">
        <v>297</v>
      </c>
      <c r="G438" s="2">
        <v>5865600</v>
      </c>
      <c r="H438" s="2">
        <v>2743600</v>
      </c>
      <c r="I438" s="2" t="s">
        <v>40</v>
      </c>
    </row>
    <row r="439" spans="1:9">
      <c r="A439" s="3">
        <v>45992</v>
      </c>
      <c r="B439" s="2" t="s">
        <v>10</v>
      </c>
      <c r="C439" s="2">
        <v>123</v>
      </c>
      <c r="D439" s="2">
        <v>9</v>
      </c>
      <c r="E439" s="2">
        <v>3</v>
      </c>
      <c r="F439" s="2">
        <v>3</v>
      </c>
      <c r="G439" s="2">
        <v>1562800</v>
      </c>
      <c r="H439" s="2">
        <v>30300</v>
      </c>
      <c r="I439" s="2" t="s">
        <v>42</v>
      </c>
    </row>
    <row r="440" spans="1:9">
      <c r="A440" s="3">
        <v>45870</v>
      </c>
      <c r="B440" s="2" t="s">
        <v>7</v>
      </c>
      <c r="C440" s="2">
        <v>248224</v>
      </c>
      <c r="D440" s="2">
        <v>1362</v>
      </c>
      <c r="E440" s="2">
        <v>825</v>
      </c>
      <c r="F440" s="2">
        <v>823</v>
      </c>
      <c r="G440" s="2">
        <v>2978375481</v>
      </c>
      <c r="H440" s="2">
        <v>9043215.48</v>
      </c>
      <c r="I440" s="2" t="s">
        <v>40</v>
      </c>
    </row>
    <row r="441" spans="1:9">
      <c r="A441" s="3">
        <v>45809</v>
      </c>
      <c r="B441" s="2" t="s">
        <v>9</v>
      </c>
      <c r="C441" s="2">
        <v>3615</v>
      </c>
      <c r="D441" s="2">
        <v>89</v>
      </c>
      <c r="E441" s="2">
        <v>49</v>
      </c>
      <c r="F441" s="2">
        <v>49</v>
      </c>
      <c r="G441" s="2">
        <v>26129486</v>
      </c>
      <c r="H441" s="2">
        <v>386300</v>
      </c>
      <c r="I441" s="2" t="s">
        <v>40</v>
      </c>
    </row>
    <row r="442" spans="1:9">
      <c r="A442" s="3">
        <v>46082</v>
      </c>
      <c r="B442" s="2" t="s">
        <v>5</v>
      </c>
      <c r="C442" s="2">
        <v>11</v>
      </c>
      <c r="D442" s="2">
        <v>6</v>
      </c>
      <c r="E442" s="2">
        <v>5</v>
      </c>
      <c r="F442" s="2">
        <v>5</v>
      </c>
      <c r="G442" s="2">
        <v>84700</v>
      </c>
      <c r="H442" s="2">
        <v>22300</v>
      </c>
      <c r="I442" s="2" t="s">
        <v>38</v>
      </c>
    </row>
    <row r="443" spans="1:9">
      <c r="A443" s="3">
        <v>46054</v>
      </c>
      <c r="B443" s="2" t="s">
        <v>9</v>
      </c>
      <c r="C443" s="2">
        <v>380</v>
      </c>
      <c r="D443" s="2">
        <v>3</v>
      </c>
      <c r="E443" s="2">
        <v>1</v>
      </c>
      <c r="F443" s="2">
        <v>1</v>
      </c>
      <c r="G443" s="2">
        <v>3008765</v>
      </c>
      <c r="H443" s="2">
        <v>14000</v>
      </c>
      <c r="I443" s="2" t="s">
        <v>42</v>
      </c>
    </row>
    <row r="444" spans="1:9">
      <c r="A444" s="3">
        <v>45931</v>
      </c>
      <c r="B444" s="2" t="s">
        <v>10</v>
      </c>
      <c r="C444" s="2">
        <v>35</v>
      </c>
      <c r="D444" s="2">
        <v>5</v>
      </c>
      <c r="E444" s="2">
        <v>2</v>
      </c>
      <c r="F444" s="2">
        <v>1</v>
      </c>
      <c r="G444" s="2">
        <v>350500</v>
      </c>
      <c r="H444" s="2">
        <v>2900</v>
      </c>
      <c r="I444" s="2" t="s">
        <v>42</v>
      </c>
    </row>
    <row r="445" spans="1:9">
      <c r="A445" s="3">
        <v>45962</v>
      </c>
      <c r="B445" s="2" t="s">
        <v>10</v>
      </c>
      <c r="C445" s="2">
        <v>82</v>
      </c>
      <c r="D445" s="2">
        <v>19</v>
      </c>
      <c r="E445" s="2">
        <v>11</v>
      </c>
      <c r="F445" s="2">
        <v>12</v>
      </c>
      <c r="G445" s="2">
        <v>683600</v>
      </c>
      <c r="H445" s="2">
        <v>60300</v>
      </c>
      <c r="I445" s="2" t="s">
        <v>42</v>
      </c>
    </row>
    <row r="446" spans="1:9">
      <c r="A446" s="3">
        <v>45778</v>
      </c>
      <c r="B446" s="2" t="s">
        <v>6</v>
      </c>
      <c r="C446" s="2">
        <v>987</v>
      </c>
      <c r="D446" s="2">
        <v>466</v>
      </c>
      <c r="E446" s="2">
        <v>438</v>
      </c>
      <c r="F446" s="2">
        <v>436</v>
      </c>
      <c r="G446" s="2">
        <v>19491415</v>
      </c>
      <c r="H446" s="2">
        <v>6328216.39</v>
      </c>
      <c r="I446" s="2" t="s">
        <v>36</v>
      </c>
    </row>
    <row r="447" spans="1:9">
      <c r="A447" s="3">
        <v>45809</v>
      </c>
      <c r="B447" s="2" t="s">
        <v>7</v>
      </c>
      <c r="C447" s="2">
        <v>452706</v>
      </c>
      <c r="D447" s="2">
        <v>3301</v>
      </c>
      <c r="E447" s="2">
        <v>2170</v>
      </c>
      <c r="F447" s="2">
        <v>2172</v>
      </c>
      <c r="G447" s="2">
        <v>10269312608</v>
      </c>
      <c r="H447" s="2">
        <v>38715474.43</v>
      </c>
      <c r="I447" s="2" t="s">
        <v>41</v>
      </c>
    </row>
    <row r="448" spans="1:9">
      <c r="A448" s="3">
        <v>46023</v>
      </c>
      <c r="B448" s="2" t="s">
        <v>8</v>
      </c>
      <c r="C448" s="2">
        <v>6954</v>
      </c>
      <c r="D448" s="2">
        <v>433</v>
      </c>
      <c r="E448" s="2">
        <v>92</v>
      </c>
      <c r="F448" s="2">
        <v>93</v>
      </c>
      <c r="G448" s="2">
        <v>37478000</v>
      </c>
      <c r="H448" s="2">
        <v>617600</v>
      </c>
      <c r="I448" s="2" t="s">
        <v>44</v>
      </c>
    </row>
    <row r="449" spans="1:9">
      <c r="A449" s="3">
        <v>46054</v>
      </c>
      <c r="B449" s="2" t="s">
        <v>6</v>
      </c>
      <c r="C449" s="2">
        <v>216</v>
      </c>
      <c r="D449" s="2">
        <v>113</v>
      </c>
      <c r="E449" s="2">
        <v>112</v>
      </c>
      <c r="F449" s="2">
        <v>112</v>
      </c>
      <c r="G449" s="2">
        <v>2436400</v>
      </c>
      <c r="H449" s="2">
        <v>1171600</v>
      </c>
      <c r="I449" s="2" t="s">
        <v>38</v>
      </c>
    </row>
    <row r="450" spans="1:9">
      <c r="A450" s="3">
        <v>45748</v>
      </c>
      <c r="B450" s="2" t="s">
        <v>8</v>
      </c>
      <c r="C450" s="2">
        <v>39886</v>
      </c>
      <c r="D450" s="2">
        <v>6328</v>
      </c>
      <c r="E450" s="2">
        <v>5297</v>
      </c>
      <c r="F450" s="2">
        <v>5224</v>
      </c>
      <c r="G450" s="2">
        <v>347021280</v>
      </c>
      <c r="H450" s="2">
        <v>42091223.19</v>
      </c>
      <c r="I450" s="2" t="s">
        <v>43</v>
      </c>
    </row>
    <row r="451" spans="1:9">
      <c r="A451" s="3">
        <v>45748</v>
      </c>
      <c r="B451" s="2" t="s">
        <v>8</v>
      </c>
      <c r="C451" s="2">
        <v>12048</v>
      </c>
      <c r="D451" s="2">
        <v>2308</v>
      </c>
      <c r="E451" s="2">
        <v>1920</v>
      </c>
      <c r="F451" s="2">
        <v>1899</v>
      </c>
      <c r="G451" s="2">
        <v>88594155</v>
      </c>
      <c r="H451" s="2">
        <v>13399513.17</v>
      </c>
      <c r="I451" s="2" t="s">
        <v>38</v>
      </c>
    </row>
    <row r="452" spans="1:9">
      <c r="A452" s="3">
        <v>45748</v>
      </c>
      <c r="B452" s="2" t="s">
        <v>6</v>
      </c>
      <c r="C452" s="2">
        <v>133</v>
      </c>
      <c r="D452" s="2">
        <v>60</v>
      </c>
      <c r="E452" s="2">
        <v>46</v>
      </c>
      <c r="F452" s="2">
        <v>46</v>
      </c>
      <c r="G452" s="2">
        <v>2715720</v>
      </c>
      <c r="H452" s="2">
        <v>481306.28</v>
      </c>
      <c r="I452" s="2" t="s">
        <v>42</v>
      </c>
    </row>
    <row r="453" spans="1:9">
      <c r="A453" s="3">
        <v>45962</v>
      </c>
      <c r="B453" s="2" t="s">
        <v>7</v>
      </c>
      <c r="C453" s="2">
        <v>109563</v>
      </c>
      <c r="D453" s="2">
        <v>87</v>
      </c>
      <c r="E453" s="2">
        <v>32</v>
      </c>
      <c r="F453" s="2">
        <v>31</v>
      </c>
      <c r="G453" s="2">
        <v>1724498095</v>
      </c>
      <c r="H453" s="2">
        <v>191100</v>
      </c>
      <c r="I453" s="2" t="s">
        <v>39</v>
      </c>
    </row>
    <row r="454" spans="1:9">
      <c r="A454" s="3">
        <v>45870</v>
      </c>
      <c r="B454" s="2" t="s">
        <v>5</v>
      </c>
      <c r="C454" s="2">
        <v>26360</v>
      </c>
      <c r="D454" s="2">
        <v>11828</v>
      </c>
      <c r="E454" s="2">
        <v>11336</v>
      </c>
      <c r="F454" s="2">
        <v>11228</v>
      </c>
      <c r="G454" s="2">
        <v>786714040</v>
      </c>
      <c r="H454" s="2">
        <v>259386150</v>
      </c>
      <c r="I454" s="2" t="s">
        <v>35</v>
      </c>
    </row>
    <row r="455" spans="1:9">
      <c r="A455" s="3">
        <v>45658</v>
      </c>
      <c r="B455" s="2" t="s">
        <v>5</v>
      </c>
      <c r="C455" s="2">
        <v>24113</v>
      </c>
      <c r="D455" s="2">
        <v>15221</v>
      </c>
      <c r="E455" s="2">
        <v>13396</v>
      </c>
      <c r="F455" s="2">
        <v>13265</v>
      </c>
      <c r="G455" s="2">
        <v>425556765</v>
      </c>
      <c r="H455" s="2">
        <v>169454099.9</v>
      </c>
      <c r="I455" s="2" t="s">
        <v>37</v>
      </c>
    </row>
    <row r="456" spans="1:9">
      <c r="A456" s="3">
        <v>45689</v>
      </c>
      <c r="B456" s="2" t="s">
        <v>42</v>
      </c>
      <c r="C456" s="2">
        <v>4082</v>
      </c>
      <c r="D456" s="2">
        <v>27</v>
      </c>
      <c r="E456" s="2">
        <v>15</v>
      </c>
      <c r="F456" s="2">
        <v>15</v>
      </c>
      <c r="G456" s="2">
        <v>68241350</v>
      </c>
      <c r="H456" s="2">
        <v>239245</v>
      </c>
      <c r="I456" s="2" t="s">
        <v>42</v>
      </c>
    </row>
    <row r="457" spans="1:9">
      <c r="A457" s="3">
        <v>45901</v>
      </c>
      <c r="B457" s="2" t="s">
        <v>9</v>
      </c>
      <c r="C457" s="2">
        <v>2381</v>
      </c>
      <c r="D457" s="2">
        <v>45</v>
      </c>
      <c r="E457" s="2">
        <v>23</v>
      </c>
      <c r="F457" s="2">
        <v>23</v>
      </c>
      <c r="G457" s="2">
        <v>16195505</v>
      </c>
      <c r="H457" s="2">
        <v>135700</v>
      </c>
      <c r="I457" s="2" t="s">
        <v>38</v>
      </c>
    </row>
    <row r="458" spans="1:9">
      <c r="A458" s="3">
        <v>45992</v>
      </c>
      <c r="B458" s="2" t="s">
        <v>8</v>
      </c>
      <c r="C458" s="2">
        <v>16029</v>
      </c>
      <c r="D458" s="2">
        <v>1154</v>
      </c>
      <c r="E458" s="2">
        <v>889</v>
      </c>
      <c r="F458" s="2">
        <v>862</v>
      </c>
      <c r="G458" s="2">
        <v>121072335</v>
      </c>
      <c r="H458" s="2">
        <v>5790300</v>
      </c>
      <c r="I458" s="2" t="s">
        <v>38</v>
      </c>
    </row>
    <row r="459" spans="1:9">
      <c r="A459" s="3">
        <v>45962</v>
      </c>
      <c r="B459" s="2" t="s">
        <v>9</v>
      </c>
      <c r="C459" s="2">
        <v>9732</v>
      </c>
      <c r="D459" s="2">
        <v>607</v>
      </c>
      <c r="E459" s="2">
        <v>82</v>
      </c>
      <c r="F459" s="2">
        <v>82</v>
      </c>
      <c r="G459" s="2">
        <v>48488550</v>
      </c>
      <c r="H459" s="2">
        <v>674800</v>
      </c>
      <c r="I459" s="2" t="s">
        <v>44</v>
      </c>
    </row>
    <row r="460" spans="1:9">
      <c r="A460" s="3">
        <v>45717</v>
      </c>
      <c r="B460" s="2" t="s">
        <v>9</v>
      </c>
      <c r="C460" s="2">
        <v>959</v>
      </c>
      <c r="D460" s="2">
        <v>12</v>
      </c>
      <c r="E460" s="2">
        <v>4</v>
      </c>
      <c r="F460" s="2">
        <v>4</v>
      </c>
      <c r="G460" s="2">
        <v>6919400</v>
      </c>
      <c r="H460" s="2">
        <v>25300</v>
      </c>
      <c r="I460" s="2" t="s">
        <v>39</v>
      </c>
    </row>
    <row r="461" spans="1:9">
      <c r="A461" s="3">
        <v>45658</v>
      </c>
      <c r="B461" s="2" t="s">
        <v>6</v>
      </c>
      <c r="C461" s="2">
        <v>120</v>
      </c>
      <c r="D461" s="2">
        <v>67</v>
      </c>
      <c r="E461" s="2">
        <v>57</v>
      </c>
      <c r="F461" s="2">
        <v>56</v>
      </c>
      <c r="G461" s="2">
        <v>1716010</v>
      </c>
      <c r="H461" s="2">
        <v>547006.11</v>
      </c>
      <c r="I461" s="2" t="s">
        <v>39</v>
      </c>
    </row>
    <row r="462" spans="1:9">
      <c r="A462" s="3">
        <v>45992</v>
      </c>
      <c r="B462" s="2" t="s">
        <v>7</v>
      </c>
      <c r="C462" s="2">
        <v>785832</v>
      </c>
      <c r="D462" s="2">
        <v>2833</v>
      </c>
      <c r="E462" s="2">
        <v>1629</v>
      </c>
      <c r="F462" s="2">
        <v>1616</v>
      </c>
      <c r="G462" s="2">
        <v>11692663539</v>
      </c>
      <c r="H462" s="2">
        <v>19824200</v>
      </c>
      <c r="I462" s="2" t="s">
        <v>37</v>
      </c>
    </row>
    <row r="463" spans="1:9">
      <c r="A463" s="3">
        <v>45717</v>
      </c>
      <c r="B463" s="2" t="s">
        <v>7</v>
      </c>
      <c r="C463" s="2">
        <v>709339</v>
      </c>
      <c r="D463" s="2">
        <v>5076</v>
      </c>
      <c r="E463" s="2">
        <v>2313</v>
      </c>
      <c r="F463" s="2">
        <v>2317</v>
      </c>
      <c r="G463" s="2">
        <v>10080475269</v>
      </c>
      <c r="H463" s="2">
        <v>26645657.28</v>
      </c>
      <c r="I463" s="2" t="s">
        <v>37</v>
      </c>
    </row>
    <row r="464" spans="1:9">
      <c r="A464" s="3">
        <v>45748</v>
      </c>
      <c r="B464" s="2" t="s">
        <v>7</v>
      </c>
      <c r="C464" s="2">
        <v>124255</v>
      </c>
      <c r="D464" s="2">
        <v>784</v>
      </c>
      <c r="E464" s="2">
        <v>284</v>
      </c>
      <c r="F464" s="2">
        <v>284</v>
      </c>
      <c r="G464" s="2">
        <v>1677096137</v>
      </c>
      <c r="H464" s="2">
        <v>2684181.9</v>
      </c>
      <c r="I464" s="2" t="s">
        <v>38</v>
      </c>
    </row>
    <row r="465" spans="1:9">
      <c r="A465" s="3">
        <v>45901</v>
      </c>
      <c r="B465" s="2" t="s">
        <v>8</v>
      </c>
      <c r="C465" s="2">
        <v>23719</v>
      </c>
      <c r="D465" s="2">
        <v>1867</v>
      </c>
      <c r="E465" s="2">
        <v>1311</v>
      </c>
      <c r="F465" s="2">
        <v>1306</v>
      </c>
      <c r="G465" s="2">
        <v>219514625</v>
      </c>
      <c r="H465" s="2">
        <v>9168783.11</v>
      </c>
      <c r="I465" s="2" t="s">
        <v>35</v>
      </c>
    </row>
    <row r="466" spans="1:9">
      <c r="A466" s="3">
        <v>45717</v>
      </c>
      <c r="B466" s="2" t="s">
        <v>6</v>
      </c>
      <c r="C466" s="2">
        <v>123</v>
      </c>
      <c r="D466" s="2">
        <v>56</v>
      </c>
      <c r="E466" s="2">
        <v>42</v>
      </c>
      <c r="F466" s="2">
        <v>42</v>
      </c>
      <c r="G466" s="2">
        <v>1760510</v>
      </c>
      <c r="H466" s="2">
        <v>299670.21</v>
      </c>
      <c r="I466" s="2" t="s">
        <v>39</v>
      </c>
    </row>
    <row r="467" spans="1:9">
      <c r="A467" s="3">
        <v>46023</v>
      </c>
      <c r="B467" s="2" t="s">
        <v>9</v>
      </c>
      <c r="C467" s="2">
        <v>9928</v>
      </c>
      <c r="D467" s="2">
        <v>213</v>
      </c>
      <c r="E467" s="2">
        <v>17</v>
      </c>
      <c r="F467" s="2">
        <v>17</v>
      </c>
      <c r="G467" s="2">
        <v>49208580</v>
      </c>
      <c r="H467" s="2">
        <v>100900</v>
      </c>
      <c r="I467" s="2" t="s">
        <v>44</v>
      </c>
    </row>
    <row r="468" spans="1:9">
      <c r="A468" s="3">
        <v>45839</v>
      </c>
      <c r="B468" s="2" t="s">
        <v>6</v>
      </c>
      <c r="C468" s="2">
        <v>6617</v>
      </c>
      <c r="D468" s="2">
        <v>3379</v>
      </c>
      <c r="E468" s="2">
        <v>3176</v>
      </c>
      <c r="F468" s="2">
        <v>3146</v>
      </c>
      <c r="G468" s="2">
        <v>160268340</v>
      </c>
      <c r="H468" s="2">
        <v>55796473.35</v>
      </c>
      <c r="I468" s="2" t="s">
        <v>35</v>
      </c>
    </row>
    <row r="469" spans="1:9">
      <c r="A469" s="3">
        <v>45658</v>
      </c>
      <c r="B469" s="2" t="s">
        <v>9</v>
      </c>
      <c r="C469" s="2">
        <v>1141</v>
      </c>
      <c r="D469" s="2">
        <v>48</v>
      </c>
      <c r="E469" s="2">
        <v>27</v>
      </c>
      <c r="F469" s="2">
        <v>26</v>
      </c>
      <c r="G469" s="2">
        <v>9865650</v>
      </c>
      <c r="H469" s="2">
        <v>341900</v>
      </c>
      <c r="I469" s="2" t="s">
        <v>36</v>
      </c>
    </row>
    <row r="470" spans="1:9">
      <c r="A470" s="3">
        <v>45931</v>
      </c>
      <c r="B470" s="2" t="s">
        <v>6</v>
      </c>
      <c r="C470" s="2">
        <v>5231</v>
      </c>
      <c r="D470" s="2">
        <v>2645</v>
      </c>
      <c r="E470" s="2">
        <v>2390</v>
      </c>
      <c r="F470" s="2">
        <v>2348</v>
      </c>
      <c r="G470" s="2">
        <v>99140200</v>
      </c>
      <c r="H470" s="2">
        <v>33720700</v>
      </c>
      <c r="I470" s="2" t="s">
        <v>43</v>
      </c>
    </row>
    <row r="471" spans="1:9">
      <c r="A471" s="3">
        <v>45931</v>
      </c>
      <c r="B471" s="2" t="s">
        <v>9</v>
      </c>
      <c r="C471" s="2">
        <v>380</v>
      </c>
      <c r="D471" s="2">
        <v>9</v>
      </c>
      <c r="E471" s="2">
        <v>6</v>
      </c>
      <c r="F471" s="2">
        <v>6</v>
      </c>
      <c r="G471" s="2">
        <v>2956895</v>
      </c>
      <c r="H471" s="2">
        <v>32800</v>
      </c>
      <c r="I471" s="2" t="s">
        <v>42</v>
      </c>
    </row>
    <row r="472" spans="1:9">
      <c r="A472" s="3">
        <v>45689</v>
      </c>
      <c r="B472" s="2" t="s">
        <v>42</v>
      </c>
      <c r="C472" s="2">
        <v>5100</v>
      </c>
      <c r="D472" s="2">
        <v>32</v>
      </c>
      <c r="E472" s="2">
        <v>11</v>
      </c>
      <c r="F472" s="2">
        <v>10</v>
      </c>
      <c r="G472" s="2">
        <v>64473185</v>
      </c>
      <c r="H472" s="2">
        <v>185197.26</v>
      </c>
      <c r="I472" s="2" t="s">
        <v>40</v>
      </c>
    </row>
    <row r="473" spans="1:9">
      <c r="A473" s="3">
        <v>46082</v>
      </c>
      <c r="B473" s="2" t="s">
        <v>5</v>
      </c>
      <c r="C473" s="2">
        <v>431</v>
      </c>
      <c r="D473" s="2">
        <v>147</v>
      </c>
      <c r="E473" s="2">
        <v>145</v>
      </c>
      <c r="F473" s="2">
        <v>144</v>
      </c>
      <c r="G473" s="2">
        <v>10893900</v>
      </c>
      <c r="H473" s="2">
        <v>3214500</v>
      </c>
      <c r="I473" s="2" t="s">
        <v>35</v>
      </c>
    </row>
    <row r="474" spans="1:9">
      <c r="A474" s="3">
        <v>45689</v>
      </c>
      <c r="B474" s="2" t="s">
        <v>8</v>
      </c>
      <c r="C474" s="2">
        <v>1808</v>
      </c>
      <c r="D474" s="2">
        <v>304</v>
      </c>
      <c r="E474" s="2">
        <v>250</v>
      </c>
      <c r="F474" s="2">
        <v>248</v>
      </c>
      <c r="G474" s="2">
        <v>11586010</v>
      </c>
      <c r="H474" s="2">
        <v>1598698.43</v>
      </c>
      <c r="I474" s="2" t="s">
        <v>42</v>
      </c>
    </row>
    <row r="475" spans="1:9">
      <c r="A475" s="3">
        <v>45839</v>
      </c>
      <c r="B475" s="2" t="s">
        <v>8</v>
      </c>
      <c r="C475" s="2">
        <v>2607</v>
      </c>
      <c r="D475" s="2">
        <v>220</v>
      </c>
      <c r="E475" s="2">
        <v>166</v>
      </c>
      <c r="F475" s="2">
        <v>164</v>
      </c>
      <c r="G475" s="2">
        <v>19270025</v>
      </c>
      <c r="H475" s="2">
        <v>1092557.18</v>
      </c>
      <c r="I475" s="2" t="s">
        <v>42</v>
      </c>
    </row>
    <row r="476" spans="1:9">
      <c r="A476" s="3">
        <v>45658</v>
      </c>
      <c r="B476" s="2" t="s">
        <v>6</v>
      </c>
      <c r="C476" s="2">
        <v>1117</v>
      </c>
      <c r="D476" s="2">
        <v>593</v>
      </c>
      <c r="E476" s="2">
        <v>533</v>
      </c>
      <c r="F476" s="2">
        <v>527</v>
      </c>
      <c r="G476" s="2">
        <v>22653345</v>
      </c>
      <c r="H476" s="2">
        <v>8323248.44</v>
      </c>
      <c r="I476" s="2" t="s">
        <v>36</v>
      </c>
    </row>
    <row r="477" spans="1:9">
      <c r="A477" s="3">
        <v>46082</v>
      </c>
      <c r="B477" s="2" t="s">
        <v>7</v>
      </c>
      <c r="C477" s="2">
        <v>731124</v>
      </c>
      <c r="D477" s="2">
        <v>142</v>
      </c>
      <c r="E477" s="2">
        <v>100</v>
      </c>
      <c r="F477" s="2">
        <v>103</v>
      </c>
      <c r="G477" s="2">
        <v>13510510424</v>
      </c>
      <c r="H477" s="2">
        <v>1486400</v>
      </c>
      <c r="I477" s="2" t="s">
        <v>43</v>
      </c>
    </row>
    <row r="478" spans="1:9">
      <c r="A478" s="3">
        <v>46054</v>
      </c>
      <c r="B478" s="2" t="s">
        <v>9</v>
      </c>
      <c r="C478" s="2">
        <v>13309</v>
      </c>
      <c r="D478" s="2">
        <v>60</v>
      </c>
      <c r="E478" s="2">
        <v>15</v>
      </c>
      <c r="F478" s="2">
        <v>15</v>
      </c>
      <c r="G478" s="2">
        <v>97471720</v>
      </c>
      <c r="H478" s="2">
        <v>50900</v>
      </c>
      <c r="I478" s="2" t="s">
        <v>37</v>
      </c>
    </row>
    <row r="479" spans="1:9">
      <c r="A479" s="3">
        <v>45962</v>
      </c>
      <c r="B479" s="2" t="s">
        <v>6</v>
      </c>
      <c r="C479" s="2">
        <v>122</v>
      </c>
      <c r="D479" s="2">
        <v>61</v>
      </c>
      <c r="E479" s="2">
        <v>51</v>
      </c>
      <c r="F479" s="2">
        <v>51</v>
      </c>
      <c r="G479" s="2">
        <v>1510000</v>
      </c>
      <c r="H479" s="2">
        <v>471800</v>
      </c>
      <c r="I479" s="2" t="s">
        <v>42</v>
      </c>
    </row>
    <row r="480" spans="1:9">
      <c r="A480" s="3">
        <v>45809</v>
      </c>
      <c r="B480" s="2" t="s">
        <v>5</v>
      </c>
      <c r="C480" s="2">
        <v>28652</v>
      </c>
      <c r="D480" s="2">
        <v>12485</v>
      </c>
      <c r="E480" s="2">
        <v>11989</v>
      </c>
      <c r="F480" s="2">
        <v>11795</v>
      </c>
      <c r="G480" s="2">
        <v>798278380</v>
      </c>
      <c r="H480" s="2">
        <v>234725955</v>
      </c>
      <c r="I480" s="2" t="s">
        <v>35</v>
      </c>
    </row>
    <row r="481" spans="1:9">
      <c r="A481" s="3">
        <v>45717</v>
      </c>
      <c r="B481" s="2" t="s">
        <v>5</v>
      </c>
      <c r="C481" s="2">
        <v>9869</v>
      </c>
      <c r="D481" s="2">
        <v>4886</v>
      </c>
      <c r="E481" s="2">
        <v>4733</v>
      </c>
      <c r="F481" s="2">
        <v>4700</v>
      </c>
      <c r="G481" s="2">
        <v>200217565</v>
      </c>
      <c r="H481" s="2">
        <v>74355075</v>
      </c>
      <c r="I481" s="2" t="s">
        <v>43</v>
      </c>
    </row>
    <row r="482" spans="1:9">
      <c r="A482" s="3">
        <v>45992</v>
      </c>
      <c r="B482" s="2" t="s">
        <v>9</v>
      </c>
      <c r="C482" s="2">
        <v>9887</v>
      </c>
      <c r="D482" s="2">
        <v>279</v>
      </c>
      <c r="E482" s="2">
        <v>13</v>
      </c>
      <c r="F482" s="2">
        <v>13</v>
      </c>
      <c r="G482" s="2">
        <v>48895380</v>
      </c>
      <c r="H482" s="2">
        <v>171100</v>
      </c>
      <c r="I482" s="2" t="s">
        <v>44</v>
      </c>
    </row>
    <row r="483" spans="1:9">
      <c r="A483" s="3">
        <v>45717</v>
      </c>
      <c r="B483" s="2" t="s">
        <v>5</v>
      </c>
      <c r="C483" s="2">
        <v>916</v>
      </c>
      <c r="D483" s="2">
        <v>608</v>
      </c>
      <c r="E483" s="2">
        <v>517</v>
      </c>
      <c r="F483" s="2">
        <v>507</v>
      </c>
      <c r="G483" s="2">
        <v>11730865</v>
      </c>
      <c r="H483" s="2">
        <v>4122986</v>
      </c>
      <c r="I483" s="2" t="s">
        <v>39</v>
      </c>
    </row>
    <row r="484" spans="1:9">
      <c r="A484" s="3">
        <v>45717</v>
      </c>
      <c r="B484" s="2" t="s">
        <v>6</v>
      </c>
      <c r="C484" s="2">
        <v>111</v>
      </c>
      <c r="D484" s="2">
        <v>51</v>
      </c>
      <c r="E484" s="2">
        <v>40</v>
      </c>
      <c r="F484" s="2">
        <v>39</v>
      </c>
      <c r="G484" s="2">
        <v>2098110</v>
      </c>
      <c r="H484" s="2">
        <v>442400</v>
      </c>
      <c r="I484" s="2" t="s">
        <v>42</v>
      </c>
    </row>
    <row r="485" spans="1:9">
      <c r="A485" s="3">
        <v>45901</v>
      </c>
      <c r="B485" s="2" t="s">
        <v>6</v>
      </c>
      <c r="C485" s="2">
        <v>82</v>
      </c>
      <c r="D485" s="2">
        <v>36</v>
      </c>
      <c r="E485" s="2">
        <v>28</v>
      </c>
      <c r="F485" s="2">
        <v>28</v>
      </c>
      <c r="G485" s="2">
        <v>1253200</v>
      </c>
      <c r="H485" s="2">
        <v>364000</v>
      </c>
      <c r="I485" s="2" t="s">
        <v>39</v>
      </c>
    </row>
    <row r="486" spans="1:9">
      <c r="A486" s="3">
        <v>45748</v>
      </c>
      <c r="B486" s="2" t="s">
        <v>7</v>
      </c>
      <c r="C486" s="2">
        <v>234469</v>
      </c>
      <c r="D486" s="2">
        <v>1761</v>
      </c>
      <c r="E486" s="2">
        <v>739</v>
      </c>
      <c r="F486" s="2">
        <v>735</v>
      </c>
      <c r="G486" s="2">
        <v>2690191656</v>
      </c>
      <c r="H486" s="2">
        <v>7273563.02</v>
      </c>
      <c r="I486" s="2" t="s">
        <v>40</v>
      </c>
    </row>
    <row r="487" spans="1:9">
      <c r="A487" s="3">
        <v>45689</v>
      </c>
      <c r="B487" s="2" t="s">
        <v>8</v>
      </c>
      <c r="C487" s="2">
        <v>31701</v>
      </c>
      <c r="D487" s="2">
        <v>5179</v>
      </c>
      <c r="E487" s="2">
        <v>4312</v>
      </c>
      <c r="F487" s="2">
        <v>4267</v>
      </c>
      <c r="G487" s="2">
        <v>250323285</v>
      </c>
      <c r="H487" s="2">
        <v>31998333.38</v>
      </c>
      <c r="I487" s="2" t="s">
        <v>43</v>
      </c>
    </row>
    <row r="488" spans="1:9">
      <c r="A488" s="3">
        <v>45809</v>
      </c>
      <c r="B488" s="2" t="s">
        <v>42</v>
      </c>
      <c r="C488" s="2">
        <v>5095</v>
      </c>
      <c r="D488" s="2">
        <v>38</v>
      </c>
      <c r="E488" s="2">
        <v>18</v>
      </c>
      <c r="F488" s="2">
        <v>17</v>
      </c>
      <c r="G488" s="2">
        <v>64806765</v>
      </c>
      <c r="H488" s="2">
        <v>272700</v>
      </c>
      <c r="I488" s="2" t="s">
        <v>40</v>
      </c>
    </row>
    <row r="489" spans="1:9">
      <c r="A489" s="3">
        <v>45839</v>
      </c>
      <c r="B489" s="2" t="s">
        <v>5</v>
      </c>
      <c r="C489" s="2">
        <v>12162</v>
      </c>
      <c r="D489" s="2">
        <v>6880</v>
      </c>
      <c r="E489" s="2">
        <v>6426</v>
      </c>
      <c r="F489" s="2">
        <v>6342</v>
      </c>
      <c r="G489" s="2">
        <v>229218610</v>
      </c>
      <c r="H489" s="2">
        <v>79800410</v>
      </c>
      <c r="I489" s="2" t="s">
        <v>37</v>
      </c>
    </row>
    <row r="490" spans="1:9">
      <c r="A490" s="3">
        <v>45809</v>
      </c>
      <c r="B490" s="2" t="s">
        <v>6</v>
      </c>
      <c r="C490" s="2">
        <v>7537</v>
      </c>
      <c r="D490" s="2">
        <v>3835</v>
      </c>
      <c r="E490" s="2">
        <v>3614</v>
      </c>
      <c r="F490" s="2">
        <v>3557</v>
      </c>
      <c r="G490" s="2">
        <v>181862880</v>
      </c>
      <c r="H490" s="2">
        <v>63146147.61</v>
      </c>
      <c r="I490" s="2" t="s">
        <v>35</v>
      </c>
    </row>
    <row r="491" spans="1:9">
      <c r="A491" s="3">
        <v>45839</v>
      </c>
      <c r="B491" s="2" t="s">
        <v>5</v>
      </c>
      <c r="C491" s="2">
        <v>27630</v>
      </c>
      <c r="D491" s="2">
        <v>11355</v>
      </c>
      <c r="E491" s="2">
        <v>11040</v>
      </c>
      <c r="F491" s="2">
        <v>10927</v>
      </c>
      <c r="G491" s="2">
        <v>900212185</v>
      </c>
      <c r="H491" s="2">
        <v>227278590</v>
      </c>
      <c r="I491" s="2" t="s">
        <v>41</v>
      </c>
    </row>
    <row r="492" spans="1:9">
      <c r="A492" s="3">
        <v>45689</v>
      </c>
      <c r="B492" s="2" t="s">
        <v>5</v>
      </c>
      <c r="C492" s="2">
        <v>18907</v>
      </c>
      <c r="D492" s="2">
        <v>6900</v>
      </c>
      <c r="E492" s="2">
        <v>6592</v>
      </c>
      <c r="F492" s="2">
        <v>6538</v>
      </c>
      <c r="G492" s="2">
        <v>565315115</v>
      </c>
      <c r="H492" s="2">
        <v>126392642</v>
      </c>
      <c r="I492" s="2" t="s">
        <v>41</v>
      </c>
    </row>
    <row r="493" spans="1:9">
      <c r="A493" s="3">
        <v>45931</v>
      </c>
      <c r="B493" s="2" t="s">
        <v>9</v>
      </c>
      <c r="C493" s="2">
        <v>1387</v>
      </c>
      <c r="D493" s="2">
        <v>31</v>
      </c>
      <c r="E493" s="2">
        <v>16</v>
      </c>
      <c r="F493" s="2">
        <v>14</v>
      </c>
      <c r="G493" s="2">
        <v>12160735</v>
      </c>
      <c r="H493" s="2">
        <v>123200</v>
      </c>
      <c r="I493" s="2" t="s">
        <v>36</v>
      </c>
    </row>
    <row r="494" spans="1:9">
      <c r="A494" s="3">
        <v>46082</v>
      </c>
      <c r="B494" s="2" t="s">
        <v>6</v>
      </c>
      <c r="C494" s="2">
        <v>3</v>
      </c>
      <c r="D494" s="2">
        <v>0</v>
      </c>
      <c r="E494" s="2" t="s">
        <v>45</v>
      </c>
      <c r="F494" s="2">
        <v>0</v>
      </c>
      <c r="G494" s="2">
        <v>34000</v>
      </c>
      <c r="H494" s="2" t="s">
        <v>45</v>
      </c>
      <c r="I494" s="2" t="s">
        <v>42</v>
      </c>
    </row>
    <row r="495" spans="1:9">
      <c r="A495" s="3">
        <v>45717</v>
      </c>
      <c r="B495" s="2" t="s">
        <v>8</v>
      </c>
      <c r="C495" s="2">
        <v>36603</v>
      </c>
      <c r="D495" s="2">
        <v>6656</v>
      </c>
      <c r="E495" s="2">
        <v>5650</v>
      </c>
      <c r="F495" s="2">
        <v>5598</v>
      </c>
      <c r="G495" s="2">
        <v>309773735</v>
      </c>
      <c r="H495" s="2">
        <v>45389304.3</v>
      </c>
      <c r="I495" s="2" t="s">
        <v>43</v>
      </c>
    </row>
    <row r="496" spans="1:9">
      <c r="A496" s="3">
        <v>45870</v>
      </c>
      <c r="B496" s="2" t="s">
        <v>6</v>
      </c>
      <c r="C496" s="2">
        <v>7466</v>
      </c>
      <c r="D496" s="2">
        <v>3391</v>
      </c>
      <c r="E496" s="2">
        <v>3205</v>
      </c>
      <c r="F496" s="2">
        <v>3173</v>
      </c>
      <c r="G496" s="2">
        <v>205183300</v>
      </c>
      <c r="H496" s="2">
        <v>59431160.03</v>
      </c>
      <c r="I496" s="2" t="s">
        <v>41</v>
      </c>
    </row>
    <row r="497" spans="1:9">
      <c r="A497" s="3">
        <v>45839</v>
      </c>
      <c r="B497" s="2" t="s">
        <v>5</v>
      </c>
      <c r="C497" s="2">
        <v>25486</v>
      </c>
      <c r="D497" s="2">
        <v>11416</v>
      </c>
      <c r="E497" s="2">
        <v>10945</v>
      </c>
      <c r="F497" s="2">
        <v>10817</v>
      </c>
      <c r="G497" s="2">
        <v>745583815</v>
      </c>
      <c r="H497" s="2">
        <v>234721680</v>
      </c>
      <c r="I497" s="2" t="s">
        <v>35</v>
      </c>
    </row>
    <row r="498" spans="1:9">
      <c r="A498" s="3">
        <v>45809</v>
      </c>
      <c r="B498" s="2" t="s">
        <v>8</v>
      </c>
      <c r="C498" s="2">
        <v>22767</v>
      </c>
      <c r="D498" s="2">
        <v>2928</v>
      </c>
      <c r="E498" s="2">
        <v>2445</v>
      </c>
      <c r="F498" s="2">
        <v>2388</v>
      </c>
      <c r="G498" s="2">
        <v>207530505</v>
      </c>
      <c r="H498" s="2">
        <v>19022143.04</v>
      </c>
      <c r="I498" s="2" t="s">
        <v>35</v>
      </c>
    </row>
    <row r="499" spans="1:9">
      <c r="A499" s="3">
        <v>46054</v>
      </c>
      <c r="B499" s="2" t="s">
        <v>5</v>
      </c>
      <c r="C499" s="2">
        <v>9805</v>
      </c>
      <c r="D499" s="2">
        <v>4060</v>
      </c>
      <c r="E499" s="2">
        <v>3963</v>
      </c>
      <c r="F499" s="2">
        <v>3939</v>
      </c>
      <c r="G499" s="2">
        <v>365740300</v>
      </c>
      <c r="H499" s="2">
        <v>107035200</v>
      </c>
      <c r="I499" s="2" t="s">
        <v>41</v>
      </c>
    </row>
    <row r="500" spans="1:9">
      <c r="A500" s="3">
        <v>45962</v>
      </c>
      <c r="B500" s="2" t="s">
        <v>8</v>
      </c>
      <c r="C500" s="2">
        <v>3410</v>
      </c>
      <c r="D500" s="2">
        <v>253</v>
      </c>
      <c r="E500" s="2">
        <v>216</v>
      </c>
      <c r="F500" s="2">
        <v>210</v>
      </c>
      <c r="G500" s="2">
        <v>28581770</v>
      </c>
      <c r="H500" s="2">
        <v>1341600</v>
      </c>
      <c r="I500" s="2" t="s">
        <v>39</v>
      </c>
    </row>
    <row r="501" spans="1:9">
      <c r="A501" s="3">
        <v>46054</v>
      </c>
      <c r="B501" s="2" t="s">
        <v>5</v>
      </c>
      <c r="C501" s="2">
        <v>10494</v>
      </c>
      <c r="D501" s="2">
        <v>6095</v>
      </c>
      <c r="E501" s="2">
        <v>5817</v>
      </c>
      <c r="F501" s="2">
        <v>5805</v>
      </c>
      <c r="G501" s="2">
        <v>131282400</v>
      </c>
      <c r="H501" s="2">
        <v>56649400</v>
      </c>
      <c r="I501" s="2" t="s">
        <v>37</v>
      </c>
    </row>
    <row r="502" spans="1:9">
      <c r="A502" s="3">
        <v>45748</v>
      </c>
      <c r="B502" s="2" t="s">
        <v>9</v>
      </c>
      <c r="C502" s="2">
        <v>2217</v>
      </c>
      <c r="D502" s="2">
        <v>78</v>
      </c>
      <c r="E502" s="2">
        <v>36</v>
      </c>
      <c r="F502" s="2">
        <v>35</v>
      </c>
      <c r="G502" s="2">
        <v>14871915</v>
      </c>
      <c r="H502" s="2">
        <v>282700</v>
      </c>
      <c r="I502" s="2" t="s">
        <v>38</v>
      </c>
    </row>
    <row r="503" spans="1:9">
      <c r="A503" s="3">
        <v>45870</v>
      </c>
      <c r="B503" s="2" t="s">
        <v>9</v>
      </c>
      <c r="C503" s="2">
        <v>2368</v>
      </c>
      <c r="D503" s="2">
        <v>58</v>
      </c>
      <c r="E503" s="2">
        <v>31</v>
      </c>
      <c r="F503" s="2">
        <v>31</v>
      </c>
      <c r="G503" s="2">
        <v>16017465</v>
      </c>
      <c r="H503" s="2">
        <v>198040.27</v>
      </c>
      <c r="I503" s="2" t="s">
        <v>38</v>
      </c>
    </row>
    <row r="504" spans="1:9">
      <c r="A504" s="3">
        <v>46054</v>
      </c>
      <c r="B504" s="2" t="s">
        <v>8</v>
      </c>
      <c r="C504" s="2">
        <v>16565</v>
      </c>
      <c r="D504" s="2">
        <v>824</v>
      </c>
      <c r="E504" s="2">
        <v>404</v>
      </c>
      <c r="F504" s="2">
        <v>399</v>
      </c>
      <c r="G504" s="2">
        <v>120188795</v>
      </c>
      <c r="H504" s="2">
        <v>2069900</v>
      </c>
      <c r="I504" s="2" t="s">
        <v>38</v>
      </c>
    </row>
    <row r="505" spans="1:9">
      <c r="A505" s="3">
        <v>45962</v>
      </c>
      <c r="B505" s="2" t="s">
        <v>6</v>
      </c>
      <c r="C505" s="2">
        <v>5082</v>
      </c>
      <c r="D505" s="2">
        <v>2313</v>
      </c>
      <c r="E505" s="2">
        <v>2101</v>
      </c>
      <c r="F505" s="2">
        <v>2093</v>
      </c>
      <c r="G505" s="2">
        <v>84244200</v>
      </c>
      <c r="H505" s="2">
        <v>28654700</v>
      </c>
      <c r="I505" s="2" t="s">
        <v>43</v>
      </c>
    </row>
    <row r="506" spans="1:9">
      <c r="A506" s="3">
        <v>45658</v>
      </c>
      <c r="B506" s="2" t="s">
        <v>8</v>
      </c>
      <c r="C506" s="2">
        <v>2223</v>
      </c>
      <c r="D506" s="2">
        <v>556</v>
      </c>
      <c r="E506" s="2">
        <v>439</v>
      </c>
      <c r="F506" s="2">
        <v>439</v>
      </c>
      <c r="G506" s="2">
        <v>11428430</v>
      </c>
      <c r="H506" s="2">
        <v>2310507.24</v>
      </c>
      <c r="I506" s="2" t="s">
        <v>44</v>
      </c>
    </row>
    <row r="507" spans="1:9">
      <c r="A507" s="3">
        <v>45778</v>
      </c>
      <c r="B507" s="2" t="s">
        <v>9</v>
      </c>
      <c r="C507" s="2">
        <v>2258</v>
      </c>
      <c r="D507" s="2">
        <v>73</v>
      </c>
      <c r="E507" s="2">
        <v>31</v>
      </c>
      <c r="F507" s="2">
        <v>31</v>
      </c>
      <c r="G507" s="2">
        <v>15166495</v>
      </c>
      <c r="H507" s="2">
        <v>213700</v>
      </c>
      <c r="I507" s="2" t="s">
        <v>38</v>
      </c>
    </row>
    <row r="508" spans="1:9">
      <c r="A508" s="3">
        <v>46082</v>
      </c>
      <c r="B508" s="2" t="s">
        <v>6</v>
      </c>
      <c r="C508" s="2">
        <v>268</v>
      </c>
      <c r="D508" s="2">
        <v>119</v>
      </c>
      <c r="E508" s="2">
        <v>113</v>
      </c>
      <c r="F508" s="2">
        <v>112</v>
      </c>
      <c r="G508" s="2">
        <v>3555400</v>
      </c>
      <c r="H508" s="2">
        <v>1290700</v>
      </c>
      <c r="I508" s="2" t="s">
        <v>37</v>
      </c>
    </row>
    <row r="509" spans="1:9">
      <c r="A509" s="3">
        <v>46082</v>
      </c>
      <c r="B509" s="2" t="s">
        <v>6</v>
      </c>
      <c r="C509" s="2">
        <v>228</v>
      </c>
      <c r="D509" s="2">
        <v>109</v>
      </c>
      <c r="E509" s="2">
        <v>106</v>
      </c>
      <c r="F509" s="2">
        <v>106</v>
      </c>
      <c r="G509" s="2">
        <v>4907000</v>
      </c>
      <c r="H509" s="2">
        <v>1895200</v>
      </c>
      <c r="I509" s="2" t="s">
        <v>35</v>
      </c>
    </row>
    <row r="510" spans="1:9">
      <c r="A510" s="3">
        <v>45870</v>
      </c>
      <c r="B510" s="2" t="s">
        <v>6</v>
      </c>
      <c r="C510" s="2">
        <v>1024</v>
      </c>
      <c r="D510" s="2">
        <v>454</v>
      </c>
      <c r="E510" s="2">
        <v>409</v>
      </c>
      <c r="F510" s="2">
        <v>407</v>
      </c>
      <c r="G510" s="2">
        <v>22062330</v>
      </c>
      <c r="H510" s="2">
        <v>6550900.36</v>
      </c>
      <c r="I510" s="2" t="s">
        <v>36</v>
      </c>
    </row>
    <row r="511" spans="1:9">
      <c r="A511" s="3">
        <v>45839</v>
      </c>
      <c r="B511" s="2" t="s">
        <v>5</v>
      </c>
      <c r="C511" s="2">
        <v>1318</v>
      </c>
      <c r="D511" s="2">
        <v>564</v>
      </c>
      <c r="E511" s="2">
        <v>542</v>
      </c>
      <c r="F511" s="2">
        <v>536</v>
      </c>
      <c r="G511" s="2">
        <v>26652745</v>
      </c>
      <c r="H511" s="2">
        <v>7710040</v>
      </c>
      <c r="I511" s="2" t="s">
        <v>36</v>
      </c>
    </row>
    <row r="512" spans="1:9">
      <c r="A512" s="3">
        <v>45962</v>
      </c>
      <c r="B512" s="2" t="s">
        <v>5</v>
      </c>
      <c r="C512" s="2">
        <v>15903</v>
      </c>
      <c r="D512" s="2">
        <v>8771</v>
      </c>
      <c r="E512" s="2">
        <v>8146</v>
      </c>
      <c r="F512" s="2">
        <v>8114</v>
      </c>
      <c r="G512" s="2">
        <v>237416700</v>
      </c>
      <c r="H512" s="2">
        <v>87789500</v>
      </c>
      <c r="I512" s="2" t="s">
        <v>37</v>
      </c>
    </row>
    <row r="513" spans="1:9">
      <c r="A513" s="3">
        <v>46023</v>
      </c>
      <c r="B513" s="2" t="s">
        <v>8</v>
      </c>
      <c r="C513" s="2">
        <v>5778</v>
      </c>
      <c r="D513" s="2">
        <v>380</v>
      </c>
      <c r="E513" s="2">
        <v>278</v>
      </c>
      <c r="F513" s="2">
        <v>273</v>
      </c>
      <c r="G513" s="2">
        <v>48999465</v>
      </c>
      <c r="H513" s="2">
        <v>1682000</v>
      </c>
      <c r="I513" s="2" t="s">
        <v>41</v>
      </c>
    </row>
    <row r="514" spans="1:9">
      <c r="A514" s="3">
        <v>45962</v>
      </c>
      <c r="B514" s="2" t="s">
        <v>6</v>
      </c>
      <c r="C514" s="2">
        <v>89</v>
      </c>
      <c r="D514" s="2">
        <v>44</v>
      </c>
      <c r="E514" s="2">
        <v>34</v>
      </c>
      <c r="F514" s="2">
        <v>34</v>
      </c>
      <c r="G514" s="2">
        <v>1142800</v>
      </c>
      <c r="H514" s="2">
        <v>221500</v>
      </c>
      <c r="I514" s="2" t="s">
        <v>39</v>
      </c>
    </row>
    <row r="515" spans="1:9">
      <c r="A515" s="3">
        <v>45992</v>
      </c>
      <c r="B515" s="2" t="s">
        <v>6</v>
      </c>
      <c r="C515" s="2">
        <v>66</v>
      </c>
      <c r="D515" s="2">
        <v>28</v>
      </c>
      <c r="E515" s="2">
        <v>23</v>
      </c>
      <c r="F515" s="2">
        <v>23</v>
      </c>
      <c r="G515" s="2">
        <v>445100</v>
      </c>
      <c r="H515" s="2">
        <v>111400</v>
      </c>
      <c r="I515" s="2" t="s">
        <v>39</v>
      </c>
    </row>
    <row r="516" spans="1:9">
      <c r="A516" s="3">
        <v>45931</v>
      </c>
      <c r="B516" s="2" t="s">
        <v>5</v>
      </c>
      <c r="C516" s="2">
        <v>1</v>
      </c>
      <c r="D516" s="2">
        <v>1</v>
      </c>
      <c r="E516" s="2">
        <v>0</v>
      </c>
      <c r="F516" s="2">
        <v>0</v>
      </c>
      <c r="G516" s="2">
        <v>15000</v>
      </c>
      <c r="H516" s="2" t="s">
        <v>45</v>
      </c>
      <c r="I516" s="2" t="s">
        <v>42</v>
      </c>
    </row>
    <row r="517" spans="1:9">
      <c r="A517" s="3">
        <v>46023</v>
      </c>
      <c r="B517" s="2" t="s">
        <v>7</v>
      </c>
      <c r="C517" s="2">
        <v>718259</v>
      </c>
      <c r="D517" s="2">
        <v>2150</v>
      </c>
      <c r="E517" s="2">
        <v>1259</v>
      </c>
      <c r="F517" s="2">
        <v>1217</v>
      </c>
      <c r="G517" s="2">
        <v>13293209844</v>
      </c>
      <c r="H517" s="2">
        <v>19702600</v>
      </c>
      <c r="I517" s="2" t="s">
        <v>43</v>
      </c>
    </row>
    <row r="518" spans="1:9">
      <c r="A518" s="3">
        <v>45689</v>
      </c>
      <c r="B518" s="2" t="s">
        <v>6</v>
      </c>
      <c r="C518" s="2">
        <v>5857</v>
      </c>
      <c r="D518" s="2">
        <v>2994</v>
      </c>
      <c r="E518" s="2">
        <v>2644</v>
      </c>
      <c r="F518" s="2">
        <v>2617</v>
      </c>
      <c r="G518" s="2">
        <v>101944295</v>
      </c>
      <c r="H518" s="2">
        <v>32363675.99</v>
      </c>
      <c r="I518" s="2" t="s">
        <v>37</v>
      </c>
    </row>
    <row r="519" spans="1:9">
      <c r="A519" s="3">
        <v>46082</v>
      </c>
      <c r="B519" s="2" t="s">
        <v>8</v>
      </c>
      <c r="C519" s="2">
        <v>11373</v>
      </c>
      <c r="D519" s="2">
        <v>49</v>
      </c>
      <c r="E519" s="2">
        <v>23</v>
      </c>
      <c r="F519" s="2">
        <v>23</v>
      </c>
      <c r="G519" s="2">
        <v>72119635</v>
      </c>
      <c r="H519" s="2">
        <v>130000</v>
      </c>
      <c r="I519" s="2" t="s">
        <v>40</v>
      </c>
    </row>
    <row r="520" spans="1:9">
      <c r="A520" s="3">
        <v>45748</v>
      </c>
      <c r="B520" s="2" t="s">
        <v>42</v>
      </c>
      <c r="C520" s="2">
        <v>4114</v>
      </c>
      <c r="D520" s="2">
        <v>31</v>
      </c>
      <c r="E520" s="2">
        <v>24</v>
      </c>
      <c r="F520" s="2">
        <v>24</v>
      </c>
      <c r="G520" s="2">
        <v>69226430</v>
      </c>
      <c r="H520" s="2">
        <v>375700</v>
      </c>
      <c r="I520" s="2" t="s">
        <v>42</v>
      </c>
    </row>
    <row r="521" spans="1:9">
      <c r="A521" s="3">
        <v>46082</v>
      </c>
      <c r="B521" s="2" t="s">
        <v>5</v>
      </c>
      <c r="C521" s="2">
        <v>6</v>
      </c>
      <c r="D521" s="2">
        <v>2</v>
      </c>
      <c r="E521" s="2">
        <v>2</v>
      </c>
      <c r="F521" s="2">
        <v>2</v>
      </c>
      <c r="G521" s="2">
        <v>25400</v>
      </c>
      <c r="H521" s="2">
        <v>4300</v>
      </c>
      <c r="I521" s="2" t="s">
        <v>36</v>
      </c>
    </row>
    <row r="522" spans="1:9">
      <c r="A522" s="3">
        <v>45748</v>
      </c>
      <c r="B522" s="2" t="s">
        <v>9</v>
      </c>
      <c r="C522" s="2">
        <v>12290</v>
      </c>
      <c r="D522" s="2">
        <v>463</v>
      </c>
      <c r="E522" s="2">
        <v>231</v>
      </c>
      <c r="F522" s="2">
        <v>229</v>
      </c>
      <c r="G522" s="2">
        <v>88142875</v>
      </c>
      <c r="H522" s="2">
        <v>1367600</v>
      </c>
      <c r="I522" s="2" t="s">
        <v>37</v>
      </c>
    </row>
    <row r="523" spans="1:9">
      <c r="A523" s="3">
        <v>45870</v>
      </c>
      <c r="B523" s="2" t="s">
        <v>9</v>
      </c>
      <c r="C523" s="2">
        <v>8773</v>
      </c>
      <c r="D523" s="2">
        <v>660</v>
      </c>
      <c r="E523" s="2">
        <v>196</v>
      </c>
      <c r="F523" s="2">
        <v>195</v>
      </c>
      <c r="G523" s="2">
        <v>44839210</v>
      </c>
      <c r="H523" s="2">
        <v>864811.99</v>
      </c>
      <c r="I523" s="2" t="s">
        <v>44</v>
      </c>
    </row>
    <row r="524" spans="1:9">
      <c r="A524" s="3">
        <v>46082</v>
      </c>
      <c r="B524" s="2" t="s">
        <v>9</v>
      </c>
      <c r="C524" s="2">
        <v>1405</v>
      </c>
      <c r="D524" s="2">
        <v>0</v>
      </c>
      <c r="E524" s="2" t="s">
        <v>45</v>
      </c>
      <c r="F524" s="2">
        <v>0</v>
      </c>
      <c r="G524" s="2">
        <v>12408735</v>
      </c>
      <c r="H524" s="2" t="s">
        <v>45</v>
      </c>
      <c r="I524" s="2" t="s">
        <v>36</v>
      </c>
    </row>
    <row r="525" spans="1:9">
      <c r="A525" s="3">
        <v>46023</v>
      </c>
      <c r="B525" s="2" t="s">
        <v>6</v>
      </c>
      <c r="C525" s="2">
        <v>4169</v>
      </c>
      <c r="D525" s="2">
        <v>2145</v>
      </c>
      <c r="E525" s="2">
        <v>2023</v>
      </c>
      <c r="F525" s="2">
        <v>2022</v>
      </c>
      <c r="G525" s="2">
        <v>50319400</v>
      </c>
      <c r="H525" s="2">
        <v>17598800</v>
      </c>
      <c r="I525" s="2" t="s">
        <v>37</v>
      </c>
    </row>
    <row r="526" spans="1:9">
      <c r="A526" s="3">
        <v>45689</v>
      </c>
      <c r="B526" s="2" t="s">
        <v>9</v>
      </c>
      <c r="C526" s="2">
        <v>5301</v>
      </c>
      <c r="D526" s="2">
        <v>130</v>
      </c>
      <c r="E526" s="2">
        <v>66</v>
      </c>
      <c r="F526" s="2">
        <v>66</v>
      </c>
      <c r="G526" s="2">
        <v>45336180</v>
      </c>
      <c r="H526" s="2">
        <v>569100</v>
      </c>
      <c r="I526" s="2" t="s">
        <v>35</v>
      </c>
    </row>
    <row r="527" spans="1:9">
      <c r="A527" s="3">
        <v>45658</v>
      </c>
      <c r="B527" s="2" t="s">
        <v>7</v>
      </c>
      <c r="C527" s="2">
        <v>122115</v>
      </c>
      <c r="D527" s="2">
        <v>1028</v>
      </c>
      <c r="E527" s="2">
        <v>327</v>
      </c>
      <c r="F527" s="2">
        <v>337</v>
      </c>
      <c r="G527" s="2">
        <v>1637856447</v>
      </c>
      <c r="H527" s="2">
        <v>3454333.92</v>
      </c>
      <c r="I527" s="2" t="s">
        <v>38</v>
      </c>
    </row>
    <row r="528" spans="1:9">
      <c r="A528" s="3">
        <v>45748</v>
      </c>
      <c r="B528" s="2" t="s">
        <v>5</v>
      </c>
      <c r="C528" s="2">
        <v>15075</v>
      </c>
      <c r="D528" s="2">
        <v>8498</v>
      </c>
      <c r="E528" s="2">
        <v>7514</v>
      </c>
      <c r="F528" s="2">
        <v>7441</v>
      </c>
      <c r="G528" s="2">
        <v>288613140</v>
      </c>
      <c r="H528" s="2">
        <v>90395037.6</v>
      </c>
      <c r="I528" s="2" t="s">
        <v>37</v>
      </c>
    </row>
    <row r="529" spans="1:9">
      <c r="A529" s="3">
        <v>45717</v>
      </c>
      <c r="B529" s="2" t="s">
        <v>5</v>
      </c>
      <c r="C529" s="2">
        <v>23718</v>
      </c>
      <c r="D529" s="2">
        <v>9230</v>
      </c>
      <c r="E529" s="2">
        <v>8654</v>
      </c>
      <c r="F529" s="2">
        <v>8570</v>
      </c>
      <c r="G529" s="2">
        <v>703648715</v>
      </c>
      <c r="H529" s="2">
        <v>181862763.5</v>
      </c>
      <c r="I529" s="2" t="s">
        <v>35</v>
      </c>
    </row>
    <row r="530" spans="1:9">
      <c r="A530" s="3">
        <v>45809</v>
      </c>
      <c r="B530" s="2" t="s">
        <v>6</v>
      </c>
      <c r="C530" s="2">
        <v>7505</v>
      </c>
      <c r="D530" s="2">
        <v>3347</v>
      </c>
      <c r="E530" s="2">
        <v>3185</v>
      </c>
      <c r="F530" s="2">
        <v>3142</v>
      </c>
      <c r="G530" s="2">
        <v>207065555</v>
      </c>
      <c r="H530" s="2">
        <v>53979774.86</v>
      </c>
      <c r="I530" s="2" t="s">
        <v>41</v>
      </c>
    </row>
    <row r="531" spans="1:9">
      <c r="A531" s="3">
        <v>45748</v>
      </c>
      <c r="B531" s="2" t="s">
        <v>5</v>
      </c>
      <c r="C531" s="2">
        <v>7133</v>
      </c>
      <c r="D531" s="2">
        <v>4278</v>
      </c>
      <c r="E531" s="2">
        <v>3813</v>
      </c>
      <c r="F531" s="2">
        <v>3756</v>
      </c>
      <c r="G531" s="2">
        <v>132746540</v>
      </c>
      <c r="H531" s="2">
        <v>47731799.52</v>
      </c>
      <c r="I531" s="2" t="s">
        <v>40</v>
      </c>
    </row>
    <row r="532" spans="1:9">
      <c r="A532" s="3">
        <v>45809</v>
      </c>
      <c r="B532" s="2" t="s">
        <v>5</v>
      </c>
      <c r="C532" s="2">
        <v>35332</v>
      </c>
      <c r="D532" s="2">
        <v>14137</v>
      </c>
      <c r="E532" s="2">
        <v>13749</v>
      </c>
      <c r="F532" s="2">
        <v>13539</v>
      </c>
      <c r="G532" s="2">
        <v>1087663425</v>
      </c>
      <c r="H532" s="2">
        <v>264977345</v>
      </c>
      <c r="I532" s="2" t="s">
        <v>41</v>
      </c>
    </row>
    <row r="533" spans="1:9">
      <c r="A533" s="3">
        <v>45962</v>
      </c>
      <c r="B533" s="2" t="s">
        <v>9</v>
      </c>
      <c r="C533" s="2">
        <v>2968</v>
      </c>
      <c r="D533" s="2">
        <v>44</v>
      </c>
      <c r="E533" s="2">
        <v>22</v>
      </c>
      <c r="F533" s="2">
        <v>22</v>
      </c>
      <c r="G533" s="2">
        <v>23468395</v>
      </c>
      <c r="H533" s="2">
        <v>153900</v>
      </c>
      <c r="I533" s="2" t="s">
        <v>41</v>
      </c>
    </row>
    <row r="534" spans="1:9">
      <c r="A534" s="3">
        <v>45901</v>
      </c>
      <c r="B534" s="2" t="s">
        <v>9</v>
      </c>
      <c r="C534" s="2">
        <v>3663</v>
      </c>
      <c r="D534" s="2">
        <v>86</v>
      </c>
      <c r="E534" s="2">
        <v>46</v>
      </c>
      <c r="F534" s="2">
        <v>47</v>
      </c>
      <c r="G534" s="2">
        <v>26486471</v>
      </c>
      <c r="H534" s="2">
        <v>326700</v>
      </c>
      <c r="I534" s="2" t="s">
        <v>40</v>
      </c>
    </row>
    <row r="535" spans="1:9">
      <c r="A535" s="3">
        <v>45839</v>
      </c>
      <c r="B535" s="2" t="s">
        <v>9</v>
      </c>
      <c r="C535" s="2">
        <v>5908</v>
      </c>
      <c r="D535" s="2">
        <v>149</v>
      </c>
      <c r="E535" s="2">
        <v>91</v>
      </c>
      <c r="F535" s="2">
        <v>91</v>
      </c>
      <c r="G535" s="2">
        <v>51466565</v>
      </c>
      <c r="H535" s="2">
        <v>928986.86</v>
      </c>
      <c r="I535" s="2" t="s">
        <v>35</v>
      </c>
    </row>
    <row r="536" spans="1:9">
      <c r="A536" s="3">
        <v>45839</v>
      </c>
      <c r="B536" s="2" t="s">
        <v>9</v>
      </c>
      <c r="C536" s="2">
        <v>9417</v>
      </c>
      <c r="D536" s="2">
        <v>208</v>
      </c>
      <c r="E536" s="2">
        <v>139</v>
      </c>
      <c r="F536" s="2">
        <v>139</v>
      </c>
      <c r="G536" s="2">
        <v>77494655</v>
      </c>
      <c r="H536" s="2">
        <v>1221274.15</v>
      </c>
      <c r="I536" s="2" t="s">
        <v>43</v>
      </c>
    </row>
    <row r="537" spans="1:9">
      <c r="A537" s="3">
        <v>45658</v>
      </c>
      <c r="B537" s="2" t="s">
        <v>6</v>
      </c>
      <c r="C537" s="2">
        <v>7439</v>
      </c>
      <c r="D537" s="2">
        <v>4365</v>
      </c>
      <c r="E537" s="2">
        <v>3896</v>
      </c>
      <c r="F537" s="2">
        <v>3868</v>
      </c>
      <c r="G537" s="2">
        <v>126512220</v>
      </c>
      <c r="H537" s="2">
        <v>49331978</v>
      </c>
      <c r="I537" s="2" t="s">
        <v>37</v>
      </c>
    </row>
    <row r="538" spans="1:9">
      <c r="A538" s="3">
        <v>45931</v>
      </c>
      <c r="B538" s="2" t="s">
        <v>5</v>
      </c>
      <c r="C538" s="2">
        <v>15506</v>
      </c>
      <c r="D538" s="2">
        <v>7545</v>
      </c>
      <c r="E538" s="2">
        <v>7229</v>
      </c>
      <c r="F538" s="2">
        <v>7131</v>
      </c>
      <c r="G538" s="2">
        <v>344850700</v>
      </c>
      <c r="H538" s="2">
        <v>131912500</v>
      </c>
      <c r="I538" s="2" t="s">
        <v>43</v>
      </c>
    </row>
    <row r="539" spans="1:9">
      <c r="A539" s="3">
        <v>45689</v>
      </c>
      <c r="B539" s="2" t="s">
        <v>8</v>
      </c>
      <c r="C539" s="2">
        <v>3295</v>
      </c>
      <c r="D539" s="2">
        <v>603</v>
      </c>
      <c r="E539" s="2">
        <v>509</v>
      </c>
      <c r="F539" s="2">
        <v>504</v>
      </c>
      <c r="G539" s="2">
        <v>22622885</v>
      </c>
      <c r="H539" s="2">
        <v>3583554.41</v>
      </c>
      <c r="I539" s="2" t="s">
        <v>41</v>
      </c>
    </row>
    <row r="540" spans="1:9">
      <c r="A540" s="3">
        <v>45931</v>
      </c>
      <c r="B540" s="2" t="s">
        <v>6</v>
      </c>
      <c r="C540" s="2">
        <v>550</v>
      </c>
      <c r="D540" s="2">
        <v>313</v>
      </c>
      <c r="E540" s="2">
        <v>255</v>
      </c>
      <c r="F540" s="2">
        <v>249</v>
      </c>
      <c r="G540" s="2">
        <v>8611800</v>
      </c>
      <c r="H540" s="2">
        <v>2765400</v>
      </c>
      <c r="I540" s="2" t="s">
        <v>38</v>
      </c>
    </row>
    <row r="541" spans="1:9">
      <c r="A541" s="3">
        <v>45748</v>
      </c>
      <c r="B541" s="2" t="s">
        <v>8</v>
      </c>
      <c r="C541" s="2">
        <v>21132</v>
      </c>
      <c r="D541" s="2">
        <v>3615</v>
      </c>
      <c r="E541" s="2">
        <v>3045</v>
      </c>
      <c r="F541" s="2">
        <v>3000</v>
      </c>
      <c r="G541" s="2">
        <v>191675570</v>
      </c>
      <c r="H541" s="2">
        <v>26672443.08</v>
      </c>
      <c r="I541" s="2" t="s">
        <v>35</v>
      </c>
    </row>
    <row r="542" spans="1:9">
      <c r="A542" s="3">
        <v>45901</v>
      </c>
      <c r="B542" s="2" t="s">
        <v>8</v>
      </c>
      <c r="C542" s="2">
        <v>3038</v>
      </c>
      <c r="D542" s="2">
        <v>166</v>
      </c>
      <c r="E542" s="2">
        <v>108</v>
      </c>
      <c r="F542" s="2">
        <v>107</v>
      </c>
      <c r="G542" s="2">
        <v>24803590</v>
      </c>
      <c r="H542" s="2">
        <v>589582.83</v>
      </c>
      <c r="I542" s="2" t="s">
        <v>39</v>
      </c>
    </row>
    <row r="543" spans="1:9">
      <c r="A543" s="3">
        <v>45809</v>
      </c>
      <c r="B543" s="2" t="s">
        <v>9</v>
      </c>
      <c r="C543" s="2">
        <v>12819</v>
      </c>
      <c r="D543" s="2">
        <v>404</v>
      </c>
      <c r="E543" s="2">
        <v>204</v>
      </c>
      <c r="F543" s="2">
        <v>204</v>
      </c>
      <c r="G543" s="2">
        <v>91915695</v>
      </c>
      <c r="H543" s="2">
        <v>1392500</v>
      </c>
      <c r="I543" s="2" t="s">
        <v>37</v>
      </c>
    </row>
    <row r="544" spans="1:9">
      <c r="A544" s="3">
        <v>46054</v>
      </c>
      <c r="B544" s="2" t="s">
        <v>7</v>
      </c>
      <c r="C544" s="2">
        <v>266660</v>
      </c>
      <c r="D544" s="2">
        <v>506</v>
      </c>
      <c r="E544" s="2">
        <v>286</v>
      </c>
      <c r="F544" s="2">
        <v>285</v>
      </c>
      <c r="G544" s="2">
        <v>3327636281</v>
      </c>
      <c r="H544" s="2">
        <v>3124200</v>
      </c>
      <c r="I544" s="2" t="s">
        <v>40</v>
      </c>
    </row>
    <row r="545" spans="1:9">
      <c r="A545" s="3">
        <v>45992</v>
      </c>
      <c r="B545" s="2" t="s">
        <v>10</v>
      </c>
      <c r="C545" s="2">
        <v>281872</v>
      </c>
      <c r="D545" s="2">
        <v>6034</v>
      </c>
      <c r="E545" s="2">
        <v>1189</v>
      </c>
      <c r="F545" s="2">
        <v>1170</v>
      </c>
      <c r="G545" s="2">
        <v>2248481231</v>
      </c>
      <c r="H545" s="2">
        <v>7002700</v>
      </c>
      <c r="I545" s="2" t="s">
        <v>44</v>
      </c>
    </row>
    <row r="546" spans="1:9">
      <c r="A546" s="3">
        <v>45992</v>
      </c>
      <c r="B546" s="2" t="s">
        <v>9</v>
      </c>
      <c r="C546" s="2">
        <v>6101</v>
      </c>
      <c r="D546" s="2">
        <v>97</v>
      </c>
      <c r="E546" s="2">
        <v>61</v>
      </c>
      <c r="F546" s="2">
        <v>57</v>
      </c>
      <c r="G546" s="2">
        <v>54760945</v>
      </c>
      <c r="H546" s="2">
        <v>827900</v>
      </c>
      <c r="I546" s="2" t="s">
        <v>35</v>
      </c>
    </row>
    <row r="547" spans="1:9">
      <c r="A547" s="3">
        <v>45658</v>
      </c>
      <c r="B547" s="2" t="s">
        <v>6</v>
      </c>
      <c r="C547" s="2">
        <v>8082</v>
      </c>
      <c r="D547" s="2">
        <v>4472</v>
      </c>
      <c r="E547" s="2">
        <v>4069</v>
      </c>
      <c r="F547" s="2">
        <v>4028</v>
      </c>
      <c r="G547" s="2">
        <v>166397060</v>
      </c>
      <c r="H547" s="2">
        <v>64582653.3</v>
      </c>
      <c r="I547" s="2" t="s">
        <v>35</v>
      </c>
    </row>
    <row r="548" spans="1:9">
      <c r="A548" s="3">
        <v>45870</v>
      </c>
      <c r="B548" s="2" t="s">
        <v>7</v>
      </c>
      <c r="C548" s="2">
        <v>696279</v>
      </c>
      <c r="D548" s="2">
        <v>4384</v>
      </c>
      <c r="E548" s="2">
        <v>3169</v>
      </c>
      <c r="F548" s="2">
        <v>3177</v>
      </c>
      <c r="G548" s="2">
        <v>16560439726</v>
      </c>
      <c r="H548" s="2">
        <v>53078345.09</v>
      </c>
      <c r="I548" s="2" t="s">
        <v>35</v>
      </c>
    </row>
    <row r="549" spans="1:9">
      <c r="A549" s="3">
        <v>45809</v>
      </c>
      <c r="B549" s="2" t="s">
        <v>7</v>
      </c>
      <c r="C549" s="2">
        <v>241167</v>
      </c>
      <c r="D549" s="2">
        <v>1593</v>
      </c>
      <c r="E549" s="2">
        <v>752</v>
      </c>
      <c r="F549" s="2">
        <v>749</v>
      </c>
      <c r="G549" s="2">
        <v>2835321876</v>
      </c>
      <c r="H549" s="2">
        <v>7944453</v>
      </c>
      <c r="I549" s="2" t="s">
        <v>40</v>
      </c>
    </row>
    <row r="550" spans="1:9">
      <c r="A550" s="3">
        <v>45992</v>
      </c>
      <c r="B550" s="2" t="s">
        <v>6</v>
      </c>
      <c r="C550" s="2">
        <v>427</v>
      </c>
      <c r="D550" s="2">
        <v>228</v>
      </c>
      <c r="E550" s="2">
        <v>200</v>
      </c>
      <c r="F550" s="2">
        <v>198</v>
      </c>
      <c r="G550" s="2">
        <v>4873500</v>
      </c>
      <c r="H550" s="2">
        <v>1712100</v>
      </c>
      <c r="I550" s="2" t="s">
        <v>38</v>
      </c>
    </row>
    <row r="551" spans="1:9">
      <c r="A551" s="3">
        <v>45748</v>
      </c>
      <c r="B551" s="2" t="s">
        <v>5</v>
      </c>
      <c r="C551" s="2">
        <v>23390</v>
      </c>
      <c r="D551" s="2">
        <v>9449</v>
      </c>
      <c r="E551" s="2">
        <v>8888</v>
      </c>
      <c r="F551" s="2">
        <v>8768</v>
      </c>
      <c r="G551" s="2">
        <v>710273375</v>
      </c>
      <c r="H551" s="2">
        <v>182315636.57</v>
      </c>
      <c r="I551" s="2" t="s">
        <v>35</v>
      </c>
    </row>
    <row r="552" spans="1:9">
      <c r="A552" s="3">
        <v>45901</v>
      </c>
      <c r="B552" s="2" t="s">
        <v>8</v>
      </c>
      <c r="C552" s="2">
        <v>2889</v>
      </c>
      <c r="D552" s="2">
        <v>274</v>
      </c>
      <c r="E552" s="2">
        <v>198</v>
      </c>
      <c r="F552" s="2">
        <v>195</v>
      </c>
      <c r="G552" s="2">
        <v>21965330</v>
      </c>
      <c r="H552" s="2">
        <v>1240520.75</v>
      </c>
      <c r="I552" s="2" t="s">
        <v>42</v>
      </c>
    </row>
    <row r="553" spans="1:9">
      <c r="A553" s="3">
        <v>45658</v>
      </c>
      <c r="B553" s="2" t="s">
        <v>42</v>
      </c>
      <c r="C553" s="2">
        <v>4096</v>
      </c>
      <c r="D553" s="2">
        <v>45</v>
      </c>
      <c r="E553" s="2">
        <v>36</v>
      </c>
      <c r="F553" s="2">
        <v>37</v>
      </c>
      <c r="G553" s="2">
        <v>68289430</v>
      </c>
      <c r="H553" s="2">
        <v>491165</v>
      </c>
      <c r="I553" s="2" t="s">
        <v>42</v>
      </c>
    </row>
    <row r="554" spans="1:9">
      <c r="A554" s="3">
        <v>46023</v>
      </c>
      <c r="B554" s="2" t="s">
        <v>10</v>
      </c>
      <c r="C554" s="2">
        <v>282127</v>
      </c>
      <c r="D554" s="2">
        <v>3526</v>
      </c>
      <c r="E554" s="2">
        <v>610</v>
      </c>
      <c r="F554" s="2">
        <v>611</v>
      </c>
      <c r="G554" s="2">
        <v>2252222031</v>
      </c>
      <c r="H554" s="2">
        <v>3864500</v>
      </c>
      <c r="I554" s="2" t="s">
        <v>44</v>
      </c>
    </row>
    <row r="555" spans="1:9">
      <c r="A555" s="3">
        <v>45658</v>
      </c>
      <c r="B555" s="2" t="s">
        <v>8</v>
      </c>
      <c r="C555" s="2">
        <v>41049</v>
      </c>
      <c r="D555" s="2">
        <v>7862</v>
      </c>
      <c r="E555" s="2">
        <v>6122</v>
      </c>
      <c r="F555" s="2">
        <v>6091</v>
      </c>
      <c r="G555" s="2">
        <v>269106885</v>
      </c>
      <c r="H555" s="2">
        <v>38865914.08</v>
      </c>
      <c r="I555" s="2" t="s">
        <v>37</v>
      </c>
    </row>
    <row r="556" spans="1:9">
      <c r="A556" s="3">
        <v>45809</v>
      </c>
      <c r="B556" s="2" t="s">
        <v>6</v>
      </c>
      <c r="C556" s="2">
        <v>6684</v>
      </c>
      <c r="D556" s="2">
        <v>3293</v>
      </c>
      <c r="E556" s="2">
        <v>2959</v>
      </c>
      <c r="F556" s="2">
        <v>2920</v>
      </c>
      <c r="G556" s="2">
        <v>118669690</v>
      </c>
      <c r="H556" s="2">
        <v>35729769.83</v>
      </c>
      <c r="I556" s="2" t="s">
        <v>37</v>
      </c>
    </row>
    <row r="557" spans="1:9">
      <c r="A557" s="3">
        <v>45839</v>
      </c>
      <c r="B557" s="2" t="s">
        <v>9</v>
      </c>
      <c r="C557" s="2">
        <v>2911</v>
      </c>
      <c r="D557" s="2">
        <v>40</v>
      </c>
      <c r="E557" s="2">
        <v>26</v>
      </c>
      <c r="F557" s="2">
        <v>25</v>
      </c>
      <c r="G557" s="2">
        <v>22856260</v>
      </c>
      <c r="H557" s="2">
        <v>181720</v>
      </c>
      <c r="I557" s="2" t="s">
        <v>41</v>
      </c>
    </row>
    <row r="558" spans="1:9">
      <c r="A558" s="3">
        <v>45778</v>
      </c>
      <c r="B558" s="2" t="s">
        <v>8</v>
      </c>
      <c r="C558" s="2">
        <v>4272</v>
      </c>
      <c r="D558" s="2">
        <v>950</v>
      </c>
      <c r="E558" s="2">
        <v>756</v>
      </c>
      <c r="F558" s="2">
        <v>754</v>
      </c>
      <c r="G558" s="2">
        <v>26117175</v>
      </c>
      <c r="H558" s="2">
        <v>4418046</v>
      </c>
      <c r="I558" s="2" t="s">
        <v>44</v>
      </c>
    </row>
    <row r="559" spans="1:9">
      <c r="A559" s="3">
        <v>46082</v>
      </c>
      <c r="B559" s="2" t="s">
        <v>7</v>
      </c>
      <c r="C559" s="2">
        <v>109611</v>
      </c>
      <c r="D559" s="2">
        <v>1</v>
      </c>
      <c r="E559" s="2">
        <v>1</v>
      </c>
      <c r="F559" s="2">
        <v>1</v>
      </c>
      <c r="G559" s="2">
        <v>1725091975</v>
      </c>
      <c r="H559" s="2">
        <v>4000</v>
      </c>
      <c r="I559" s="2" t="s">
        <v>39</v>
      </c>
    </row>
    <row r="560" spans="1:9">
      <c r="A560" s="3">
        <v>45992</v>
      </c>
      <c r="B560" s="2" t="s">
        <v>42</v>
      </c>
      <c r="C560" s="2">
        <v>5065</v>
      </c>
      <c r="D560" s="2">
        <v>14</v>
      </c>
      <c r="E560" s="2">
        <v>8</v>
      </c>
      <c r="F560" s="2">
        <v>8</v>
      </c>
      <c r="G560" s="2">
        <v>64606645</v>
      </c>
      <c r="H560" s="2">
        <v>131400</v>
      </c>
      <c r="I560" s="2" t="s">
        <v>40</v>
      </c>
    </row>
    <row r="561" spans="1:9">
      <c r="A561" s="3">
        <v>45839</v>
      </c>
      <c r="B561" s="2" t="s">
        <v>6</v>
      </c>
      <c r="C561" s="2">
        <v>5498</v>
      </c>
      <c r="D561" s="2">
        <v>2712</v>
      </c>
      <c r="E561" s="2">
        <v>2507</v>
      </c>
      <c r="F561" s="2">
        <v>2480</v>
      </c>
      <c r="G561" s="2">
        <v>106953680</v>
      </c>
      <c r="H561" s="2">
        <v>37159980.04</v>
      </c>
      <c r="I561" s="2" t="s">
        <v>43</v>
      </c>
    </row>
    <row r="562" spans="1:9">
      <c r="A562" s="3">
        <v>45778</v>
      </c>
      <c r="B562" s="2" t="s">
        <v>9</v>
      </c>
      <c r="C562" s="2">
        <v>5712</v>
      </c>
      <c r="D562" s="2">
        <v>172</v>
      </c>
      <c r="E562" s="2">
        <v>73</v>
      </c>
      <c r="F562" s="2">
        <v>73</v>
      </c>
      <c r="G562" s="2">
        <v>49666940</v>
      </c>
      <c r="H562" s="2">
        <v>733850</v>
      </c>
      <c r="I562" s="2" t="s">
        <v>35</v>
      </c>
    </row>
    <row r="563" spans="1:9">
      <c r="A563" s="3">
        <v>45748</v>
      </c>
      <c r="B563" s="2" t="s">
        <v>9</v>
      </c>
      <c r="C563" s="2">
        <v>339</v>
      </c>
      <c r="D563" s="2">
        <v>10</v>
      </c>
      <c r="E563" s="2">
        <v>3</v>
      </c>
      <c r="F563" s="2">
        <v>3</v>
      </c>
      <c r="G563" s="2">
        <v>2751710</v>
      </c>
      <c r="H563" s="2">
        <v>57600</v>
      </c>
      <c r="I563" s="2" t="s">
        <v>42</v>
      </c>
    </row>
    <row r="564" spans="1:9">
      <c r="A564" s="3">
        <v>45839</v>
      </c>
      <c r="B564" s="2" t="s">
        <v>7</v>
      </c>
      <c r="C564" s="2">
        <v>745277</v>
      </c>
      <c r="D564" s="2">
        <v>3859</v>
      </c>
      <c r="E564" s="2">
        <v>2255</v>
      </c>
      <c r="F564" s="2">
        <v>2236</v>
      </c>
      <c r="G564" s="2">
        <v>10872487359</v>
      </c>
      <c r="H564" s="2">
        <v>22343328.31</v>
      </c>
      <c r="I564" s="2" t="s">
        <v>37</v>
      </c>
    </row>
    <row r="565" spans="1:9">
      <c r="A565" s="3">
        <v>45931</v>
      </c>
      <c r="B565" s="2" t="s">
        <v>7</v>
      </c>
      <c r="C565" s="2">
        <v>532994</v>
      </c>
      <c r="D565" s="2">
        <v>3275</v>
      </c>
      <c r="E565" s="2">
        <v>2279</v>
      </c>
      <c r="F565" s="2">
        <v>2259</v>
      </c>
      <c r="G565" s="2">
        <v>13186748678</v>
      </c>
      <c r="H565" s="2">
        <v>46403395.45</v>
      </c>
      <c r="I565" s="2" t="s">
        <v>41</v>
      </c>
    </row>
    <row r="566" spans="1:9">
      <c r="A566" s="3">
        <v>45901</v>
      </c>
      <c r="B566" s="2" t="s">
        <v>7</v>
      </c>
      <c r="C566" s="2">
        <v>679772</v>
      </c>
      <c r="D566" s="2">
        <v>3165</v>
      </c>
      <c r="E566" s="2">
        <v>1989</v>
      </c>
      <c r="F566" s="2">
        <v>1986</v>
      </c>
      <c r="G566" s="2">
        <v>12548738699</v>
      </c>
      <c r="H566" s="2">
        <v>28551422.25</v>
      </c>
      <c r="I566" s="2" t="s">
        <v>43</v>
      </c>
    </row>
    <row r="567" spans="1:9">
      <c r="A567" s="3">
        <v>45748</v>
      </c>
      <c r="B567" s="2" t="s">
        <v>7</v>
      </c>
      <c r="C567" s="2">
        <v>166742</v>
      </c>
      <c r="D567" s="2">
        <v>778</v>
      </c>
      <c r="E567" s="2">
        <v>315</v>
      </c>
      <c r="F567" s="2">
        <v>312</v>
      </c>
      <c r="G567" s="2">
        <v>3225769069</v>
      </c>
      <c r="H567" s="2">
        <v>3950143.15</v>
      </c>
      <c r="I567" s="2" t="s">
        <v>36</v>
      </c>
    </row>
    <row r="568" spans="1:9">
      <c r="A568" s="3">
        <v>46023</v>
      </c>
      <c r="B568" s="2" t="s">
        <v>7</v>
      </c>
      <c r="C568" s="2">
        <v>109610</v>
      </c>
      <c r="D568" s="2">
        <v>53</v>
      </c>
      <c r="E568" s="2">
        <v>27</v>
      </c>
      <c r="F568" s="2">
        <v>27</v>
      </c>
      <c r="G568" s="2">
        <v>1725081395</v>
      </c>
      <c r="H568" s="2">
        <v>196500</v>
      </c>
      <c r="I568" s="2" t="s">
        <v>39</v>
      </c>
    </row>
    <row r="569" spans="1:9">
      <c r="A569" s="3">
        <v>45992</v>
      </c>
      <c r="B569" s="2" t="s">
        <v>9</v>
      </c>
      <c r="C569" s="2">
        <v>13426</v>
      </c>
      <c r="D569" s="2">
        <v>259</v>
      </c>
      <c r="E569" s="2">
        <v>142</v>
      </c>
      <c r="F569" s="2">
        <v>137</v>
      </c>
      <c r="G569" s="2">
        <v>98478075</v>
      </c>
      <c r="H569" s="2">
        <v>1382500</v>
      </c>
      <c r="I569" s="2" t="s">
        <v>37</v>
      </c>
    </row>
    <row r="570" spans="1:9">
      <c r="A570" s="3">
        <v>46054</v>
      </c>
      <c r="B570" s="2" t="s">
        <v>7</v>
      </c>
      <c r="C570" s="2">
        <v>172401</v>
      </c>
      <c r="D570" s="2">
        <v>135</v>
      </c>
      <c r="E570" s="2">
        <v>63</v>
      </c>
      <c r="F570" s="2">
        <v>61</v>
      </c>
      <c r="G570" s="2">
        <v>3342343252</v>
      </c>
      <c r="H570" s="2">
        <v>570800</v>
      </c>
      <c r="I570" s="2" t="s">
        <v>36</v>
      </c>
    </row>
    <row r="571" spans="1:9">
      <c r="A571" s="3">
        <v>46082</v>
      </c>
      <c r="B571" s="2" t="s">
        <v>9</v>
      </c>
      <c r="C571" s="2">
        <v>6036</v>
      </c>
      <c r="D571" s="2">
        <v>2</v>
      </c>
      <c r="E571" s="2">
        <v>1</v>
      </c>
      <c r="F571" s="2">
        <v>1</v>
      </c>
      <c r="G571" s="2">
        <v>53824435</v>
      </c>
      <c r="H571" s="2">
        <v>19000</v>
      </c>
      <c r="I571" s="2" t="s">
        <v>35</v>
      </c>
    </row>
    <row r="572" spans="1:9">
      <c r="A572" s="3">
        <v>45689</v>
      </c>
      <c r="B572" s="2" t="s">
        <v>9</v>
      </c>
      <c r="C572" s="2">
        <v>2687</v>
      </c>
      <c r="D572" s="2">
        <v>41</v>
      </c>
      <c r="E572" s="2">
        <v>30</v>
      </c>
      <c r="F572" s="2">
        <v>30</v>
      </c>
      <c r="G572" s="2">
        <v>20864320</v>
      </c>
      <c r="H572" s="2">
        <v>233300</v>
      </c>
      <c r="I572" s="2" t="s">
        <v>41</v>
      </c>
    </row>
    <row r="573" spans="1:9">
      <c r="A573" s="3">
        <v>46082</v>
      </c>
      <c r="B573" s="2" t="s">
        <v>9</v>
      </c>
      <c r="C573" s="2">
        <v>1012</v>
      </c>
      <c r="D573" s="2">
        <v>0</v>
      </c>
      <c r="E573" s="2" t="s">
        <v>45</v>
      </c>
      <c r="F573" s="2">
        <v>0</v>
      </c>
      <c r="G573" s="2">
        <v>7471300</v>
      </c>
      <c r="H573" s="2" t="s">
        <v>45</v>
      </c>
      <c r="I573" s="2" t="s">
        <v>39</v>
      </c>
    </row>
    <row r="574" spans="1:9">
      <c r="A574" s="3">
        <v>45778</v>
      </c>
      <c r="B574" s="2" t="s">
        <v>5</v>
      </c>
      <c r="C574" s="2">
        <v>1071</v>
      </c>
      <c r="D574" s="2">
        <v>647</v>
      </c>
      <c r="E574" s="2">
        <v>584</v>
      </c>
      <c r="F574" s="2">
        <v>572</v>
      </c>
      <c r="G574" s="2">
        <v>15422885</v>
      </c>
      <c r="H574" s="2">
        <v>5703460</v>
      </c>
      <c r="I574" s="2" t="s">
        <v>38</v>
      </c>
    </row>
    <row r="575" spans="1:9">
      <c r="A575" s="3">
        <v>45992</v>
      </c>
      <c r="B575" s="2" t="s">
        <v>5</v>
      </c>
      <c r="C575" s="2">
        <v>314</v>
      </c>
      <c r="D575" s="2">
        <v>183</v>
      </c>
      <c r="E575" s="2">
        <v>177</v>
      </c>
      <c r="F575" s="2">
        <v>177</v>
      </c>
      <c r="G575" s="2">
        <v>2515300</v>
      </c>
      <c r="H575" s="2">
        <v>1144100</v>
      </c>
      <c r="I575" s="2" t="s">
        <v>38</v>
      </c>
    </row>
    <row r="576" spans="1:9">
      <c r="A576" s="3">
        <v>46023</v>
      </c>
      <c r="B576" s="2" t="s">
        <v>7</v>
      </c>
      <c r="C576" s="2">
        <v>172076</v>
      </c>
      <c r="D576" s="2">
        <v>285</v>
      </c>
      <c r="E576" s="2">
        <v>155</v>
      </c>
      <c r="F576" s="2">
        <v>143</v>
      </c>
      <c r="G576" s="2">
        <v>3338480872</v>
      </c>
      <c r="H576" s="2">
        <v>2393200</v>
      </c>
      <c r="I576" s="2" t="s">
        <v>36</v>
      </c>
    </row>
    <row r="577" spans="1:9">
      <c r="A577" s="3">
        <v>46023</v>
      </c>
      <c r="B577" s="2" t="s">
        <v>9</v>
      </c>
      <c r="C577" s="2">
        <v>2975</v>
      </c>
      <c r="D577" s="2">
        <v>25</v>
      </c>
      <c r="E577" s="2">
        <v>14</v>
      </c>
      <c r="F577" s="2">
        <v>14</v>
      </c>
      <c r="G577" s="2">
        <v>23772285</v>
      </c>
      <c r="H577" s="2">
        <v>166700</v>
      </c>
      <c r="I577" s="2" t="s">
        <v>41</v>
      </c>
    </row>
    <row r="578" spans="1:9">
      <c r="A578" s="3">
        <v>45901</v>
      </c>
      <c r="B578" s="2" t="s">
        <v>7</v>
      </c>
      <c r="C578" s="2">
        <v>5908</v>
      </c>
      <c r="D578" s="2">
        <v>35</v>
      </c>
      <c r="E578" s="2">
        <v>13</v>
      </c>
      <c r="F578" s="2">
        <v>13</v>
      </c>
      <c r="G578" s="2">
        <v>75592070</v>
      </c>
      <c r="H578" s="2">
        <v>148829.99</v>
      </c>
      <c r="I578" s="2" t="s">
        <v>42</v>
      </c>
    </row>
    <row r="579" spans="1:9">
      <c r="A579" s="3">
        <v>45962</v>
      </c>
      <c r="B579" s="2" t="s">
        <v>9</v>
      </c>
      <c r="C579" s="2">
        <v>3682</v>
      </c>
      <c r="D579" s="2">
        <v>60</v>
      </c>
      <c r="E579" s="2">
        <v>33</v>
      </c>
      <c r="F579" s="2">
        <v>33</v>
      </c>
      <c r="G579" s="2">
        <v>26774151</v>
      </c>
      <c r="H579" s="2">
        <v>254900</v>
      </c>
      <c r="I579" s="2" t="s">
        <v>40</v>
      </c>
    </row>
    <row r="580" spans="1:9">
      <c r="A580" s="3">
        <v>45658</v>
      </c>
      <c r="B580" s="2" t="s">
        <v>5</v>
      </c>
      <c r="C580" s="2">
        <v>1873</v>
      </c>
      <c r="D580" s="2">
        <v>1276</v>
      </c>
      <c r="E580" s="2">
        <v>1137</v>
      </c>
      <c r="F580" s="2">
        <v>1115</v>
      </c>
      <c r="G580" s="2">
        <v>29184370</v>
      </c>
      <c r="H580" s="2">
        <v>12497718</v>
      </c>
      <c r="I580" s="2" t="s">
        <v>38</v>
      </c>
    </row>
    <row r="581" spans="1:9">
      <c r="A581" s="3">
        <v>46082</v>
      </c>
      <c r="B581" s="2" t="s">
        <v>8</v>
      </c>
      <c r="C581" s="2">
        <v>49313</v>
      </c>
      <c r="D581" s="2">
        <v>97</v>
      </c>
      <c r="E581" s="2">
        <v>50</v>
      </c>
      <c r="F581" s="2">
        <v>51</v>
      </c>
      <c r="G581" s="2">
        <v>424563155</v>
      </c>
      <c r="H581" s="2">
        <v>258700</v>
      </c>
      <c r="I581" s="2" t="s">
        <v>43</v>
      </c>
    </row>
    <row r="582" spans="1:9">
      <c r="A582" s="3">
        <v>45839</v>
      </c>
      <c r="B582" s="2" t="s">
        <v>7</v>
      </c>
      <c r="C582" s="2">
        <v>476690</v>
      </c>
      <c r="D582" s="2">
        <v>3033</v>
      </c>
      <c r="E582" s="2">
        <v>2214</v>
      </c>
      <c r="F582" s="2">
        <v>2207</v>
      </c>
      <c r="G582" s="2">
        <v>11077194038</v>
      </c>
      <c r="H582" s="2">
        <v>37418842.24</v>
      </c>
      <c r="I582" s="2" t="s">
        <v>41</v>
      </c>
    </row>
    <row r="583" spans="1:9">
      <c r="A583" s="3">
        <v>45962</v>
      </c>
      <c r="B583" s="2" t="s">
        <v>7</v>
      </c>
      <c r="C583" s="2">
        <v>777049</v>
      </c>
      <c r="D583" s="2">
        <v>3472</v>
      </c>
      <c r="E583" s="2">
        <v>1807</v>
      </c>
      <c r="F583" s="2">
        <v>1789</v>
      </c>
      <c r="G583" s="2">
        <v>11554881694</v>
      </c>
      <c r="H583" s="2">
        <v>22834700</v>
      </c>
      <c r="I583" s="2" t="s">
        <v>37</v>
      </c>
    </row>
    <row r="584" spans="1:9">
      <c r="A584" s="3">
        <v>45689</v>
      </c>
      <c r="B584" s="2" t="s">
        <v>9</v>
      </c>
      <c r="C584" s="2">
        <v>11564</v>
      </c>
      <c r="D584" s="2">
        <v>404</v>
      </c>
      <c r="E584" s="2">
        <v>218</v>
      </c>
      <c r="F584" s="2">
        <v>217</v>
      </c>
      <c r="G584" s="2">
        <v>82520675</v>
      </c>
      <c r="H584" s="2">
        <v>1606780</v>
      </c>
      <c r="I584" s="2" t="s">
        <v>37</v>
      </c>
    </row>
    <row r="585" spans="1:9">
      <c r="A585" s="3">
        <v>45748</v>
      </c>
      <c r="B585" s="2" t="s">
        <v>7</v>
      </c>
      <c r="C585" s="2">
        <v>5542</v>
      </c>
      <c r="D585" s="2">
        <v>55</v>
      </c>
      <c r="E585" s="2">
        <v>16</v>
      </c>
      <c r="F585" s="2">
        <v>16</v>
      </c>
      <c r="G585" s="2">
        <v>68589805</v>
      </c>
      <c r="H585" s="2">
        <v>166205</v>
      </c>
      <c r="I585" s="2" t="s">
        <v>42</v>
      </c>
    </row>
    <row r="586" spans="1:9">
      <c r="A586" s="3">
        <v>46023</v>
      </c>
      <c r="B586" s="2" t="s">
        <v>5</v>
      </c>
      <c r="C586" s="2">
        <v>4343</v>
      </c>
      <c r="D586" s="2">
        <v>2244</v>
      </c>
      <c r="E586" s="2">
        <v>2138</v>
      </c>
      <c r="F586" s="2">
        <v>2131</v>
      </c>
      <c r="G586" s="2">
        <v>67333100</v>
      </c>
      <c r="H586" s="2">
        <v>24652600</v>
      </c>
      <c r="I586" s="2" t="s">
        <v>40</v>
      </c>
    </row>
    <row r="587" spans="1:9">
      <c r="A587" s="3">
        <v>45839</v>
      </c>
      <c r="B587" s="2" t="s">
        <v>10</v>
      </c>
      <c r="C587" s="2">
        <v>245072</v>
      </c>
      <c r="D587" s="2">
        <v>12886</v>
      </c>
      <c r="E587" s="2">
        <v>5330</v>
      </c>
      <c r="F587" s="2">
        <v>5311</v>
      </c>
      <c r="G587" s="2">
        <v>1864509227</v>
      </c>
      <c r="H587" s="2">
        <v>27588704</v>
      </c>
      <c r="I587" s="2" t="s">
        <v>44</v>
      </c>
    </row>
    <row r="588" spans="1:9">
      <c r="A588" s="3">
        <v>45901</v>
      </c>
      <c r="B588" s="2" t="s">
        <v>8</v>
      </c>
      <c r="C588" s="2">
        <v>44449</v>
      </c>
      <c r="D588" s="2">
        <v>3194</v>
      </c>
      <c r="E588" s="2">
        <v>2220</v>
      </c>
      <c r="F588" s="2">
        <v>2196</v>
      </c>
      <c r="G588" s="2">
        <v>389024105</v>
      </c>
      <c r="H588" s="2">
        <v>15945828.71</v>
      </c>
      <c r="I588" s="2" t="s">
        <v>43</v>
      </c>
    </row>
    <row r="589" spans="1:9">
      <c r="A589" s="3">
        <v>45901</v>
      </c>
      <c r="B589" s="2" t="s">
        <v>9</v>
      </c>
      <c r="C589" s="2">
        <v>9600</v>
      </c>
      <c r="D589" s="2">
        <v>177</v>
      </c>
      <c r="E589" s="2">
        <v>92</v>
      </c>
      <c r="F589" s="2">
        <v>91</v>
      </c>
      <c r="G589" s="2">
        <v>79951585</v>
      </c>
      <c r="H589" s="2">
        <v>758960.57</v>
      </c>
      <c r="I589" s="2" t="s">
        <v>43</v>
      </c>
    </row>
    <row r="590" spans="1:9">
      <c r="A590" s="3">
        <v>45748</v>
      </c>
      <c r="B590" s="2" t="s">
        <v>5</v>
      </c>
      <c r="C590" s="2">
        <v>22645</v>
      </c>
      <c r="D590" s="2">
        <v>8281</v>
      </c>
      <c r="E590" s="2">
        <v>7992</v>
      </c>
      <c r="F590" s="2">
        <v>7892</v>
      </c>
      <c r="G590" s="2">
        <v>722529730</v>
      </c>
      <c r="H590" s="2">
        <v>158820175</v>
      </c>
      <c r="I590" s="2" t="s">
        <v>41</v>
      </c>
    </row>
    <row r="591" spans="1:9">
      <c r="A591" s="3">
        <v>46023</v>
      </c>
      <c r="B591" s="2" t="s">
        <v>6</v>
      </c>
      <c r="C591" s="2">
        <v>776</v>
      </c>
      <c r="D591" s="2">
        <v>439</v>
      </c>
      <c r="E591" s="2">
        <v>413</v>
      </c>
      <c r="F591" s="2">
        <v>411</v>
      </c>
      <c r="G591" s="2">
        <v>7222600</v>
      </c>
      <c r="H591" s="2">
        <v>3497000</v>
      </c>
      <c r="I591" s="2" t="s">
        <v>40</v>
      </c>
    </row>
    <row r="592" spans="1:9">
      <c r="A592" s="3">
        <v>45778</v>
      </c>
      <c r="B592" s="2" t="s">
        <v>6</v>
      </c>
      <c r="C592" s="2">
        <v>7021</v>
      </c>
      <c r="D592" s="2">
        <v>3534</v>
      </c>
      <c r="E592" s="2">
        <v>3254</v>
      </c>
      <c r="F592" s="2">
        <v>3224</v>
      </c>
      <c r="G592" s="2">
        <v>162445125</v>
      </c>
      <c r="H592" s="2">
        <v>52379777.58</v>
      </c>
      <c r="I592" s="2" t="s">
        <v>35</v>
      </c>
    </row>
    <row r="593" spans="1:9">
      <c r="A593" s="3">
        <v>45992</v>
      </c>
      <c r="B593" s="2" t="s">
        <v>8</v>
      </c>
      <c r="C593" s="2">
        <v>6621</v>
      </c>
      <c r="D593" s="2">
        <v>300</v>
      </c>
      <c r="E593" s="2">
        <v>136</v>
      </c>
      <c r="F593" s="2">
        <v>133</v>
      </c>
      <c r="G593" s="2">
        <v>37110900</v>
      </c>
      <c r="H593" s="2">
        <v>1020300</v>
      </c>
      <c r="I593" s="2" t="s">
        <v>44</v>
      </c>
    </row>
    <row r="594" spans="1:9">
      <c r="A594" s="3">
        <v>45962</v>
      </c>
      <c r="B594" s="2" t="s">
        <v>9</v>
      </c>
      <c r="C594" s="2">
        <v>13351</v>
      </c>
      <c r="D594" s="2">
        <v>315</v>
      </c>
      <c r="E594" s="2">
        <v>158</v>
      </c>
      <c r="F594" s="2">
        <v>157</v>
      </c>
      <c r="G594" s="2">
        <v>97447965</v>
      </c>
      <c r="H594" s="2">
        <v>1350400</v>
      </c>
      <c r="I594" s="2" t="s">
        <v>37</v>
      </c>
    </row>
    <row r="595" spans="1:9">
      <c r="A595" s="3">
        <v>45839</v>
      </c>
      <c r="B595" s="2" t="s">
        <v>9</v>
      </c>
      <c r="C595" s="2">
        <v>12944</v>
      </c>
      <c r="D595" s="2">
        <v>296</v>
      </c>
      <c r="E595" s="2">
        <v>172</v>
      </c>
      <c r="F595" s="2">
        <v>168</v>
      </c>
      <c r="G595" s="2">
        <v>93463245</v>
      </c>
      <c r="H595" s="2">
        <v>1306251.75</v>
      </c>
      <c r="I595" s="2" t="s">
        <v>37</v>
      </c>
    </row>
    <row r="596" spans="1:9">
      <c r="A596" s="3">
        <v>45658</v>
      </c>
      <c r="B596" s="2" t="s">
        <v>9</v>
      </c>
      <c r="C596" s="2">
        <v>2018</v>
      </c>
      <c r="D596" s="2">
        <v>70</v>
      </c>
      <c r="E596" s="2">
        <v>37</v>
      </c>
      <c r="F596" s="2">
        <v>36</v>
      </c>
      <c r="G596" s="2">
        <v>13386440</v>
      </c>
      <c r="H596" s="2">
        <v>244200</v>
      </c>
      <c r="I596" s="2" t="s">
        <v>38</v>
      </c>
    </row>
    <row r="597" spans="1:9">
      <c r="A597" s="3">
        <v>46082</v>
      </c>
      <c r="B597" s="2" t="s">
        <v>7</v>
      </c>
      <c r="C597" s="2">
        <v>129953</v>
      </c>
      <c r="D597" s="2">
        <v>13</v>
      </c>
      <c r="E597" s="2">
        <v>5</v>
      </c>
      <c r="F597" s="2">
        <v>5</v>
      </c>
      <c r="G597" s="2">
        <v>1776567442</v>
      </c>
      <c r="H597" s="2">
        <v>20400</v>
      </c>
      <c r="I597" s="2" t="s">
        <v>38</v>
      </c>
    </row>
    <row r="598" spans="1:9">
      <c r="A598" s="3">
        <v>45658</v>
      </c>
      <c r="B598" s="2" t="s">
        <v>9</v>
      </c>
      <c r="C598" s="2">
        <v>11196</v>
      </c>
      <c r="D598" s="2">
        <v>496</v>
      </c>
      <c r="E598" s="2">
        <v>252</v>
      </c>
      <c r="F598" s="2">
        <v>255</v>
      </c>
      <c r="G598" s="2">
        <v>80382945</v>
      </c>
      <c r="H598" s="2">
        <v>2118900</v>
      </c>
      <c r="I598" s="2" t="s">
        <v>37</v>
      </c>
    </row>
    <row r="599" spans="1:9">
      <c r="A599" s="3">
        <v>45689</v>
      </c>
      <c r="B599" s="2" t="s">
        <v>8</v>
      </c>
      <c r="C599" s="2">
        <v>5642</v>
      </c>
      <c r="D599" s="2">
        <v>843</v>
      </c>
      <c r="E599" s="2">
        <v>702</v>
      </c>
      <c r="F599" s="2">
        <v>692</v>
      </c>
      <c r="G599" s="2">
        <v>42282895</v>
      </c>
      <c r="H599" s="2">
        <v>4844128.93</v>
      </c>
      <c r="I599" s="2" t="s">
        <v>36</v>
      </c>
    </row>
    <row r="600" spans="1:9">
      <c r="A600" s="3">
        <v>45839</v>
      </c>
      <c r="B600" s="2" t="s">
        <v>42</v>
      </c>
      <c r="C600" s="2">
        <v>5098</v>
      </c>
      <c r="D600" s="2">
        <v>28</v>
      </c>
      <c r="E600" s="2">
        <v>17</v>
      </c>
      <c r="F600" s="2">
        <v>16</v>
      </c>
      <c r="G600" s="2">
        <v>64788420</v>
      </c>
      <c r="H600" s="2">
        <v>157100</v>
      </c>
      <c r="I600" s="2" t="s">
        <v>40</v>
      </c>
    </row>
    <row r="601" spans="1:9">
      <c r="A601" s="3">
        <v>45748</v>
      </c>
      <c r="B601" s="2" t="s">
        <v>6</v>
      </c>
      <c r="C601" s="2">
        <v>647</v>
      </c>
      <c r="D601" s="2">
        <v>339</v>
      </c>
      <c r="E601" s="2">
        <v>288</v>
      </c>
      <c r="F601" s="2">
        <v>284</v>
      </c>
      <c r="G601" s="2">
        <v>9649455</v>
      </c>
      <c r="H601" s="2">
        <v>2924650.36</v>
      </c>
      <c r="I601" s="2" t="s">
        <v>38</v>
      </c>
    </row>
    <row r="602" spans="1:9">
      <c r="A602" s="3">
        <v>45717</v>
      </c>
      <c r="B602" s="2" t="s">
        <v>9</v>
      </c>
      <c r="C602" s="2">
        <v>11968</v>
      </c>
      <c r="D602" s="2">
        <v>433</v>
      </c>
      <c r="E602" s="2">
        <v>228</v>
      </c>
      <c r="F602" s="2">
        <v>228</v>
      </c>
      <c r="G602" s="2">
        <v>85163880</v>
      </c>
      <c r="H602" s="2">
        <v>1416700</v>
      </c>
      <c r="I602" s="2" t="s">
        <v>37</v>
      </c>
    </row>
    <row r="603" spans="1:9">
      <c r="A603" s="3">
        <v>45962</v>
      </c>
      <c r="B603" s="2" t="s">
        <v>42</v>
      </c>
      <c r="C603" s="2">
        <v>5074</v>
      </c>
      <c r="D603" s="2">
        <v>27</v>
      </c>
      <c r="E603" s="2">
        <v>17</v>
      </c>
      <c r="F603" s="2">
        <v>17</v>
      </c>
      <c r="G603" s="2">
        <v>64750345</v>
      </c>
      <c r="H603" s="2">
        <v>162600</v>
      </c>
      <c r="I603" s="2" t="s">
        <v>40</v>
      </c>
    </row>
    <row r="604" spans="1:9">
      <c r="A604" s="3">
        <v>45689</v>
      </c>
      <c r="B604" s="2" t="s">
        <v>9</v>
      </c>
      <c r="C604" s="2">
        <v>3995</v>
      </c>
      <c r="D604" s="2">
        <v>309</v>
      </c>
      <c r="E604" s="2">
        <v>124</v>
      </c>
      <c r="F604" s="2">
        <v>124</v>
      </c>
      <c r="G604" s="2">
        <v>21428585</v>
      </c>
      <c r="H604" s="2">
        <v>462100</v>
      </c>
      <c r="I604" s="2" t="s">
        <v>44</v>
      </c>
    </row>
    <row r="605" spans="1:9">
      <c r="A605" s="3">
        <v>46023</v>
      </c>
      <c r="B605" s="2" t="s">
        <v>6</v>
      </c>
      <c r="C605" s="2">
        <v>364</v>
      </c>
      <c r="D605" s="2">
        <v>193</v>
      </c>
      <c r="E605" s="2">
        <v>178</v>
      </c>
      <c r="F605" s="2">
        <v>177</v>
      </c>
      <c r="G605" s="2">
        <v>4386300</v>
      </c>
      <c r="H605" s="2">
        <v>1248200</v>
      </c>
      <c r="I605" s="2" t="s">
        <v>38</v>
      </c>
    </row>
    <row r="606" spans="1:9">
      <c r="A606" s="3">
        <v>45901</v>
      </c>
      <c r="B606" s="2" t="s">
        <v>5</v>
      </c>
      <c r="C606" s="2">
        <v>27369</v>
      </c>
      <c r="D606" s="2">
        <v>11294</v>
      </c>
      <c r="E606" s="2">
        <v>10711</v>
      </c>
      <c r="F606" s="2">
        <v>10586</v>
      </c>
      <c r="G606" s="2">
        <v>1000909500</v>
      </c>
      <c r="H606" s="2">
        <v>262170100</v>
      </c>
      <c r="I606" s="2" t="s">
        <v>41</v>
      </c>
    </row>
    <row r="607" spans="1:9">
      <c r="A607" s="3">
        <v>45992</v>
      </c>
      <c r="B607" s="2" t="s">
        <v>8</v>
      </c>
      <c r="C607" s="2">
        <v>8972</v>
      </c>
      <c r="D607" s="2">
        <v>544</v>
      </c>
      <c r="E607" s="2">
        <v>420</v>
      </c>
      <c r="F607" s="2">
        <v>408</v>
      </c>
      <c r="G607" s="2">
        <v>77141045</v>
      </c>
      <c r="H607" s="2">
        <v>3096100</v>
      </c>
      <c r="I607" s="2" t="s">
        <v>36</v>
      </c>
    </row>
    <row r="608" spans="1:9">
      <c r="A608" s="3">
        <v>46082</v>
      </c>
      <c r="B608" s="2" t="s">
        <v>7</v>
      </c>
      <c r="C608" s="2">
        <v>172558</v>
      </c>
      <c r="D608" s="2">
        <v>23</v>
      </c>
      <c r="E608" s="2">
        <v>14</v>
      </c>
      <c r="F608" s="2">
        <v>14</v>
      </c>
      <c r="G608" s="2">
        <v>3345175602</v>
      </c>
      <c r="H608" s="2">
        <v>204900</v>
      </c>
      <c r="I608" s="2" t="s">
        <v>36</v>
      </c>
    </row>
    <row r="609" spans="1:9">
      <c r="A609" s="3">
        <v>45778</v>
      </c>
      <c r="B609" s="2" t="s">
        <v>7</v>
      </c>
      <c r="C609" s="2">
        <v>124851</v>
      </c>
      <c r="D609" s="2">
        <v>756</v>
      </c>
      <c r="E609" s="2">
        <v>277</v>
      </c>
      <c r="F609" s="2">
        <v>277</v>
      </c>
      <c r="G609" s="2">
        <v>1688166057</v>
      </c>
      <c r="H609" s="2">
        <v>2319765.69</v>
      </c>
      <c r="I609" s="2" t="s">
        <v>38</v>
      </c>
    </row>
    <row r="610" spans="1:9">
      <c r="A610" s="3">
        <v>46023</v>
      </c>
      <c r="B610" s="2" t="s">
        <v>8</v>
      </c>
      <c r="C610" s="2">
        <v>9015</v>
      </c>
      <c r="D610" s="2">
        <v>443</v>
      </c>
      <c r="E610" s="2">
        <v>306</v>
      </c>
      <c r="F610" s="2">
        <v>296</v>
      </c>
      <c r="G610" s="2">
        <v>75762795</v>
      </c>
      <c r="H610" s="2">
        <v>1752400</v>
      </c>
      <c r="I610" s="2" t="s">
        <v>36</v>
      </c>
    </row>
    <row r="611" spans="1:9">
      <c r="A611" s="3">
        <v>45809</v>
      </c>
      <c r="B611" s="2" t="s">
        <v>9</v>
      </c>
      <c r="C611" s="2">
        <v>2862</v>
      </c>
      <c r="D611" s="2">
        <v>43</v>
      </c>
      <c r="E611" s="2">
        <v>19</v>
      </c>
      <c r="F611" s="2">
        <v>18</v>
      </c>
      <c r="G611" s="2">
        <v>22286620</v>
      </c>
      <c r="H611" s="2">
        <v>141200</v>
      </c>
      <c r="I611" s="2" t="s">
        <v>41</v>
      </c>
    </row>
    <row r="612" spans="1:9">
      <c r="A612" s="3">
        <v>45901</v>
      </c>
      <c r="B612" s="2" t="s">
        <v>7</v>
      </c>
      <c r="C612" s="2">
        <v>252172</v>
      </c>
      <c r="D612" s="2">
        <v>1344</v>
      </c>
      <c r="E612" s="2">
        <v>781</v>
      </c>
      <c r="F612" s="2">
        <v>790</v>
      </c>
      <c r="G612" s="2">
        <v>3063224796</v>
      </c>
      <c r="H612" s="2">
        <v>9017759.72</v>
      </c>
      <c r="I612" s="2" t="s">
        <v>40</v>
      </c>
    </row>
    <row r="613" spans="1:9">
      <c r="A613" s="3">
        <v>45809</v>
      </c>
      <c r="B613" s="2" t="s">
        <v>5</v>
      </c>
      <c r="C613" s="2">
        <v>966</v>
      </c>
      <c r="D613" s="2">
        <v>601</v>
      </c>
      <c r="E613" s="2">
        <v>555</v>
      </c>
      <c r="F613" s="2">
        <v>537</v>
      </c>
      <c r="G613" s="2">
        <v>13681185</v>
      </c>
      <c r="H613" s="2">
        <v>5338220</v>
      </c>
      <c r="I613" s="2" t="s">
        <v>38</v>
      </c>
    </row>
    <row r="614" spans="1:9">
      <c r="A614" s="3">
        <v>45658</v>
      </c>
      <c r="B614" s="2" t="s">
        <v>7</v>
      </c>
      <c r="C614" s="2">
        <v>688269</v>
      </c>
      <c r="D614" s="2">
        <v>5938</v>
      </c>
      <c r="E614" s="2">
        <v>2433</v>
      </c>
      <c r="F614" s="2">
        <v>2582</v>
      </c>
      <c r="G614" s="2">
        <v>9652811869</v>
      </c>
      <c r="H614" s="2">
        <v>33924788.11</v>
      </c>
      <c r="I614" s="2" t="s">
        <v>37</v>
      </c>
    </row>
    <row r="615" spans="1:9">
      <c r="A615" s="3">
        <v>45839</v>
      </c>
      <c r="B615" s="2" t="s">
        <v>8</v>
      </c>
      <c r="C615" s="2">
        <v>13020</v>
      </c>
      <c r="D615" s="2">
        <v>1290</v>
      </c>
      <c r="E615" s="2">
        <v>1007</v>
      </c>
      <c r="F615" s="2">
        <v>988</v>
      </c>
      <c r="G615" s="2">
        <v>95866860</v>
      </c>
      <c r="H615" s="2">
        <v>6007373.58</v>
      </c>
      <c r="I615" s="2" t="s">
        <v>38</v>
      </c>
    </row>
    <row r="616" spans="1:9">
      <c r="A616" s="3">
        <v>46054</v>
      </c>
      <c r="B616" s="2" t="s">
        <v>8</v>
      </c>
      <c r="C616" s="2">
        <v>49964</v>
      </c>
      <c r="D616" s="2">
        <v>1422</v>
      </c>
      <c r="E616" s="2">
        <v>789</v>
      </c>
      <c r="F616" s="2">
        <v>773</v>
      </c>
      <c r="G616" s="2">
        <v>428314210</v>
      </c>
      <c r="H616" s="2">
        <v>3633200</v>
      </c>
      <c r="I616" s="2" t="s">
        <v>43</v>
      </c>
    </row>
    <row r="617" spans="1:9">
      <c r="A617" s="3">
        <v>45717</v>
      </c>
      <c r="B617" s="2" t="s">
        <v>8</v>
      </c>
      <c r="C617" s="2">
        <v>3790</v>
      </c>
      <c r="D617" s="2">
        <v>753</v>
      </c>
      <c r="E617" s="2">
        <v>666</v>
      </c>
      <c r="F617" s="2">
        <v>658</v>
      </c>
      <c r="G617" s="2">
        <v>29837155</v>
      </c>
      <c r="H617" s="2">
        <v>5625977.96</v>
      </c>
      <c r="I617" s="2" t="s">
        <v>41</v>
      </c>
    </row>
    <row r="618" spans="1:9">
      <c r="A618" s="3">
        <v>46054</v>
      </c>
      <c r="B618" s="2" t="s">
        <v>5</v>
      </c>
      <c r="C618" s="2">
        <v>7807</v>
      </c>
      <c r="D618" s="2">
        <v>3347</v>
      </c>
      <c r="E618" s="2">
        <v>3245</v>
      </c>
      <c r="F618" s="2">
        <v>3222</v>
      </c>
      <c r="G618" s="2">
        <v>198998700</v>
      </c>
      <c r="H618" s="2">
        <v>67717200</v>
      </c>
      <c r="I618" s="2" t="s">
        <v>35</v>
      </c>
    </row>
    <row r="619" spans="1:9">
      <c r="A619" s="3">
        <v>45717</v>
      </c>
      <c r="B619" s="2" t="s">
        <v>7</v>
      </c>
      <c r="C619" s="2">
        <v>231703</v>
      </c>
      <c r="D619" s="2">
        <v>1577</v>
      </c>
      <c r="E619" s="2">
        <v>626</v>
      </c>
      <c r="F619" s="2">
        <v>634</v>
      </c>
      <c r="G619" s="2">
        <v>2629370806</v>
      </c>
      <c r="H619" s="2">
        <v>6831225.67</v>
      </c>
      <c r="I619" s="2" t="s">
        <v>40</v>
      </c>
    </row>
    <row r="620" spans="1:9">
      <c r="A620" s="3">
        <v>45839</v>
      </c>
      <c r="B620" s="2" t="s">
        <v>6</v>
      </c>
      <c r="C620" s="2">
        <v>5591</v>
      </c>
      <c r="D620" s="2">
        <v>2724</v>
      </c>
      <c r="E620" s="2">
        <v>2458</v>
      </c>
      <c r="F620" s="2">
        <v>2434</v>
      </c>
      <c r="G620" s="2">
        <v>96752575</v>
      </c>
      <c r="H620" s="2">
        <v>29673148.61</v>
      </c>
      <c r="I620" s="2" t="s">
        <v>37</v>
      </c>
    </row>
    <row r="621" spans="1:9">
      <c r="A621" s="3">
        <v>45809</v>
      </c>
      <c r="B621" s="2" t="s">
        <v>8</v>
      </c>
      <c r="C621" s="2">
        <v>4609</v>
      </c>
      <c r="D621" s="2">
        <v>942</v>
      </c>
      <c r="E621" s="2">
        <v>774</v>
      </c>
      <c r="F621" s="2">
        <v>763</v>
      </c>
      <c r="G621" s="2">
        <v>28402905</v>
      </c>
      <c r="H621" s="2">
        <v>4428767.72</v>
      </c>
      <c r="I621" s="2" t="s">
        <v>44</v>
      </c>
    </row>
    <row r="622" spans="1:9">
      <c r="A622" s="3">
        <v>45870</v>
      </c>
      <c r="B622" s="2" t="s">
        <v>42</v>
      </c>
      <c r="C622" s="2">
        <v>4185</v>
      </c>
      <c r="D622" s="2">
        <v>23</v>
      </c>
      <c r="E622" s="2">
        <v>16</v>
      </c>
      <c r="F622" s="2">
        <v>16</v>
      </c>
      <c r="G622" s="2">
        <v>71619110</v>
      </c>
      <c r="H622" s="2">
        <v>224440</v>
      </c>
      <c r="I622" s="2" t="s">
        <v>42</v>
      </c>
    </row>
    <row r="623" spans="1:9">
      <c r="A623" s="3">
        <v>45901</v>
      </c>
      <c r="B623" s="2" t="s">
        <v>8</v>
      </c>
      <c r="C623" s="2">
        <v>9953</v>
      </c>
      <c r="D623" s="2">
        <v>974</v>
      </c>
      <c r="E623" s="2">
        <v>664</v>
      </c>
      <c r="F623" s="2">
        <v>658</v>
      </c>
      <c r="G623" s="2">
        <v>65189090</v>
      </c>
      <c r="H623" s="2">
        <v>3868470.29</v>
      </c>
      <c r="I623" s="2" t="s">
        <v>40</v>
      </c>
    </row>
    <row r="624" spans="1:9">
      <c r="A624" s="3">
        <v>45748</v>
      </c>
      <c r="B624" s="2" t="s">
        <v>5</v>
      </c>
      <c r="C624" s="2">
        <v>635</v>
      </c>
      <c r="D624" s="2">
        <v>331</v>
      </c>
      <c r="E624" s="2">
        <v>292</v>
      </c>
      <c r="F624" s="2">
        <v>284</v>
      </c>
      <c r="G624" s="2">
        <v>9866685</v>
      </c>
      <c r="H624" s="2">
        <v>2370995</v>
      </c>
      <c r="I624" s="2" t="s">
        <v>39</v>
      </c>
    </row>
    <row r="625" spans="1:9">
      <c r="A625" s="3">
        <v>46082</v>
      </c>
      <c r="B625" s="2" t="s">
        <v>42</v>
      </c>
      <c r="C625" s="2">
        <v>4187</v>
      </c>
      <c r="D625" s="2">
        <v>0</v>
      </c>
      <c r="E625" s="2" t="s">
        <v>45</v>
      </c>
      <c r="F625" s="2">
        <v>0</v>
      </c>
      <c r="G625" s="2">
        <v>71598905</v>
      </c>
      <c r="H625" s="2" t="s">
        <v>45</v>
      </c>
      <c r="I625" s="2" t="s">
        <v>42</v>
      </c>
    </row>
    <row r="626" spans="1:9">
      <c r="A626" s="3">
        <v>45689</v>
      </c>
      <c r="B626" s="2" t="s">
        <v>6</v>
      </c>
      <c r="C626" s="2">
        <v>117</v>
      </c>
      <c r="D626" s="2">
        <v>55</v>
      </c>
      <c r="E626" s="2">
        <v>44</v>
      </c>
      <c r="F626" s="2">
        <v>44</v>
      </c>
      <c r="G626" s="2">
        <v>1634060</v>
      </c>
      <c r="H626" s="2">
        <v>422705</v>
      </c>
      <c r="I626" s="2" t="s">
        <v>42</v>
      </c>
    </row>
    <row r="627" spans="1:9">
      <c r="A627" s="3">
        <v>45717</v>
      </c>
      <c r="B627" s="2" t="s">
        <v>5</v>
      </c>
      <c r="C627" s="2">
        <v>1319</v>
      </c>
      <c r="D627" s="2">
        <v>874</v>
      </c>
      <c r="E627" s="2">
        <v>773</v>
      </c>
      <c r="F627" s="2">
        <v>765</v>
      </c>
      <c r="G627" s="2">
        <v>20268380</v>
      </c>
      <c r="H627" s="2">
        <v>7764335</v>
      </c>
      <c r="I627" s="2" t="s">
        <v>38</v>
      </c>
    </row>
    <row r="628" spans="1:9">
      <c r="A628" s="3">
        <v>45992</v>
      </c>
      <c r="B628" s="2" t="s">
        <v>5</v>
      </c>
      <c r="C628" s="2">
        <v>10</v>
      </c>
      <c r="D628" s="2">
        <v>6</v>
      </c>
      <c r="E628" s="2">
        <v>5</v>
      </c>
      <c r="F628" s="2">
        <v>5</v>
      </c>
      <c r="G628" s="2">
        <v>91400</v>
      </c>
      <c r="H628" s="2">
        <v>52300</v>
      </c>
      <c r="I628" s="2" t="s">
        <v>39</v>
      </c>
    </row>
    <row r="629" spans="1:9">
      <c r="A629" s="3">
        <v>45962</v>
      </c>
      <c r="B629" s="2" t="s">
        <v>7</v>
      </c>
      <c r="C629" s="2">
        <v>543761</v>
      </c>
      <c r="D629" s="2">
        <v>2779</v>
      </c>
      <c r="E629" s="2">
        <v>1934</v>
      </c>
      <c r="F629" s="2">
        <v>1930</v>
      </c>
      <c r="G629" s="2">
        <v>13606515358</v>
      </c>
      <c r="H629" s="2">
        <v>38836000</v>
      </c>
      <c r="I629" s="2" t="s">
        <v>41</v>
      </c>
    </row>
    <row r="630" spans="1:9">
      <c r="A630" s="3">
        <v>45992</v>
      </c>
      <c r="B630" s="2" t="s">
        <v>9</v>
      </c>
      <c r="C630" s="2">
        <v>1014</v>
      </c>
      <c r="D630" s="2">
        <v>4</v>
      </c>
      <c r="E630" s="2">
        <v>2</v>
      </c>
      <c r="F630" s="2">
        <v>2</v>
      </c>
      <c r="G630" s="2">
        <v>7475500</v>
      </c>
      <c r="H630" s="2">
        <v>28800</v>
      </c>
      <c r="I630" s="2" t="s">
        <v>39</v>
      </c>
    </row>
    <row r="631" spans="1:9">
      <c r="A631" s="3">
        <v>46023</v>
      </c>
      <c r="B631" s="2" t="s">
        <v>9</v>
      </c>
      <c r="C631" s="2">
        <v>1013</v>
      </c>
      <c r="D631" s="2">
        <v>2</v>
      </c>
      <c r="E631" s="2">
        <v>1</v>
      </c>
      <c r="F631" s="2">
        <v>1</v>
      </c>
      <c r="G631" s="2">
        <v>7475300</v>
      </c>
      <c r="H631" s="2">
        <v>2500</v>
      </c>
      <c r="I631" s="2" t="s">
        <v>39</v>
      </c>
    </row>
    <row r="632" spans="1:9">
      <c r="A632" s="3">
        <v>45717</v>
      </c>
      <c r="B632" s="2" t="s">
        <v>5</v>
      </c>
      <c r="C632" s="2">
        <v>16547</v>
      </c>
      <c r="D632" s="2">
        <v>9948</v>
      </c>
      <c r="E632" s="2">
        <v>8723</v>
      </c>
      <c r="F632" s="2">
        <v>8646</v>
      </c>
      <c r="G632" s="2">
        <v>311030790</v>
      </c>
      <c r="H632" s="2">
        <v>104682030</v>
      </c>
      <c r="I632" s="2" t="s">
        <v>37</v>
      </c>
    </row>
    <row r="633" spans="1:9">
      <c r="A633" s="3">
        <v>45717</v>
      </c>
      <c r="B633" s="2" t="s">
        <v>42</v>
      </c>
      <c r="C633" s="2">
        <v>4092</v>
      </c>
      <c r="D633" s="2">
        <v>22</v>
      </c>
      <c r="E633" s="2">
        <v>12</v>
      </c>
      <c r="F633" s="2">
        <v>12</v>
      </c>
      <c r="G633" s="2">
        <v>68574260</v>
      </c>
      <c r="H633" s="2">
        <v>155600</v>
      </c>
      <c r="I633" s="2" t="s">
        <v>42</v>
      </c>
    </row>
    <row r="634" spans="1:9">
      <c r="A634" s="3">
        <v>45870</v>
      </c>
      <c r="B634" s="2" t="s">
        <v>9</v>
      </c>
      <c r="C634" s="2">
        <v>375</v>
      </c>
      <c r="D634" s="2">
        <v>16</v>
      </c>
      <c r="E634" s="2">
        <v>10</v>
      </c>
      <c r="F634" s="2">
        <v>10</v>
      </c>
      <c r="G634" s="2">
        <v>2927140</v>
      </c>
      <c r="H634" s="2">
        <v>27600</v>
      </c>
      <c r="I634" s="2" t="s">
        <v>42</v>
      </c>
    </row>
    <row r="635" spans="1:9">
      <c r="A635" s="3">
        <v>46054</v>
      </c>
      <c r="B635" s="2" t="s">
        <v>6</v>
      </c>
      <c r="C635" s="2">
        <v>3889</v>
      </c>
      <c r="D635" s="2">
        <v>1875</v>
      </c>
      <c r="E635" s="2">
        <v>1829</v>
      </c>
      <c r="F635" s="2">
        <v>1822</v>
      </c>
      <c r="G635" s="2">
        <v>89189400</v>
      </c>
      <c r="H635" s="2">
        <v>31021500</v>
      </c>
      <c r="I635" s="2" t="s">
        <v>41</v>
      </c>
    </row>
    <row r="636" spans="1:9">
      <c r="A636" s="3">
        <v>45839</v>
      </c>
      <c r="B636" s="2" t="s">
        <v>7</v>
      </c>
      <c r="C636" s="2">
        <v>244963</v>
      </c>
      <c r="D636" s="2">
        <v>1412</v>
      </c>
      <c r="E636" s="2">
        <v>838</v>
      </c>
      <c r="F636" s="2">
        <v>837</v>
      </c>
      <c r="G636" s="2">
        <v>2911634906</v>
      </c>
      <c r="H636" s="2">
        <v>8064253.72</v>
      </c>
      <c r="I636" s="2" t="s">
        <v>40</v>
      </c>
    </row>
    <row r="637" spans="1:9">
      <c r="A637" s="3">
        <v>45748</v>
      </c>
      <c r="B637" s="2" t="s">
        <v>8</v>
      </c>
      <c r="C637" s="2">
        <v>2443</v>
      </c>
      <c r="D637" s="2">
        <v>426</v>
      </c>
      <c r="E637" s="2">
        <v>359</v>
      </c>
      <c r="F637" s="2">
        <v>356</v>
      </c>
      <c r="G637" s="2">
        <v>17576770</v>
      </c>
      <c r="H637" s="2">
        <v>2278437.01</v>
      </c>
      <c r="I637" s="2" t="s">
        <v>42</v>
      </c>
    </row>
    <row r="638" spans="1:9">
      <c r="A638" s="3">
        <v>45992</v>
      </c>
      <c r="B638" s="2" t="s">
        <v>7</v>
      </c>
      <c r="C638" s="2">
        <v>262517</v>
      </c>
      <c r="D638" s="2">
        <v>940</v>
      </c>
      <c r="E638" s="2">
        <v>576</v>
      </c>
      <c r="F638" s="2">
        <v>575</v>
      </c>
      <c r="G638" s="2">
        <v>3263709201</v>
      </c>
      <c r="H638" s="2">
        <v>6631400</v>
      </c>
      <c r="I638" s="2" t="s">
        <v>40</v>
      </c>
    </row>
    <row r="639" spans="1:9">
      <c r="A639" s="3">
        <v>45870</v>
      </c>
      <c r="B639" s="2" t="s">
        <v>9</v>
      </c>
      <c r="C639" s="2">
        <v>9555</v>
      </c>
      <c r="D639" s="2">
        <v>206</v>
      </c>
      <c r="E639" s="2">
        <v>130</v>
      </c>
      <c r="F639" s="2">
        <v>129</v>
      </c>
      <c r="G639" s="2">
        <v>79413645</v>
      </c>
      <c r="H639" s="2">
        <v>1178974.09</v>
      </c>
      <c r="I639" s="2" t="s">
        <v>43</v>
      </c>
    </row>
    <row r="640" spans="1:9">
      <c r="A640" s="3">
        <v>45778</v>
      </c>
      <c r="B640" s="2" t="s">
        <v>5</v>
      </c>
      <c r="C640" s="2">
        <v>8247</v>
      </c>
      <c r="D640" s="2">
        <v>4893</v>
      </c>
      <c r="E640" s="2">
        <v>4412</v>
      </c>
      <c r="F640" s="2">
        <v>4361</v>
      </c>
      <c r="G640" s="2">
        <v>149779035</v>
      </c>
      <c r="H640" s="2">
        <v>53927842</v>
      </c>
      <c r="I640" s="2" t="s">
        <v>40</v>
      </c>
    </row>
    <row r="641" spans="1:9">
      <c r="A641" s="3">
        <v>46023</v>
      </c>
      <c r="B641" s="2" t="s">
        <v>8</v>
      </c>
      <c r="C641" s="2">
        <v>3374</v>
      </c>
      <c r="D641" s="2">
        <v>211</v>
      </c>
      <c r="E641" s="2">
        <v>144</v>
      </c>
      <c r="F641" s="2">
        <v>143</v>
      </c>
      <c r="G641" s="2">
        <v>25530110</v>
      </c>
      <c r="H641" s="2">
        <v>771600</v>
      </c>
      <c r="I641" s="2" t="s">
        <v>42</v>
      </c>
    </row>
    <row r="642" spans="1:9">
      <c r="A642" s="3">
        <v>45870</v>
      </c>
      <c r="B642" s="2" t="s">
        <v>7</v>
      </c>
      <c r="C642" s="2">
        <v>752018</v>
      </c>
      <c r="D642" s="2">
        <v>3881</v>
      </c>
      <c r="E642" s="2">
        <v>2341</v>
      </c>
      <c r="F642" s="2">
        <v>2321</v>
      </c>
      <c r="G642" s="2">
        <v>11020081790</v>
      </c>
      <c r="H642" s="2">
        <v>23277517.41</v>
      </c>
      <c r="I642" s="2" t="s">
        <v>37</v>
      </c>
    </row>
    <row r="643" spans="1:9">
      <c r="A643" s="3">
        <v>45778</v>
      </c>
      <c r="B643" s="2" t="s">
        <v>7</v>
      </c>
      <c r="C643" s="2">
        <v>645992</v>
      </c>
      <c r="D643" s="2">
        <v>4809</v>
      </c>
      <c r="E643" s="2">
        <v>2619</v>
      </c>
      <c r="F643" s="2">
        <v>2610</v>
      </c>
      <c r="G643" s="2">
        <v>15009745376</v>
      </c>
      <c r="H643" s="2">
        <v>43523602.59</v>
      </c>
      <c r="I643" s="2" t="s">
        <v>35</v>
      </c>
    </row>
    <row r="644" spans="1:9">
      <c r="A644" s="3">
        <v>45992</v>
      </c>
      <c r="B644" s="2" t="s">
        <v>42</v>
      </c>
      <c r="C644" s="2">
        <v>4196</v>
      </c>
      <c r="D644" s="2">
        <v>13</v>
      </c>
      <c r="E644" s="2">
        <v>12</v>
      </c>
      <c r="F644" s="2">
        <v>11</v>
      </c>
      <c r="G644" s="2">
        <v>71572905</v>
      </c>
      <c r="H644" s="2">
        <v>63400</v>
      </c>
      <c r="I644" s="2" t="s">
        <v>42</v>
      </c>
    </row>
    <row r="645" spans="1:9">
      <c r="A645" s="3">
        <v>45778</v>
      </c>
      <c r="B645" s="2" t="s">
        <v>7</v>
      </c>
      <c r="C645" s="2">
        <v>431344</v>
      </c>
      <c r="D645" s="2">
        <v>3202</v>
      </c>
      <c r="E645" s="2">
        <v>1812</v>
      </c>
      <c r="F645" s="2">
        <v>1812</v>
      </c>
      <c r="G645" s="2">
        <v>9580567608</v>
      </c>
      <c r="H645" s="2">
        <v>31884932.59</v>
      </c>
      <c r="I645" s="2" t="s">
        <v>41</v>
      </c>
    </row>
    <row r="646" spans="1:9">
      <c r="A646" s="3">
        <v>45839</v>
      </c>
      <c r="B646" s="2" t="s">
        <v>7</v>
      </c>
      <c r="C646" s="2">
        <v>168212</v>
      </c>
      <c r="D646" s="2">
        <v>547</v>
      </c>
      <c r="E646" s="2">
        <v>314</v>
      </c>
      <c r="F646" s="2">
        <v>313</v>
      </c>
      <c r="G646" s="2">
        <v>3257234754</v>
      </c>
      <c r="H646" s="2">
        <v>3567778.6</v>
      </c>
      <c r="I646" s="2" t="s">
        <v>36</v>
      </c>
    </row>
    <row r="647" spans="1:9">
      <c r="A647" s="3">
        <v>45658</v>
      </c>
      <c r="B647" s="2" t="s">
        <v>8</v>
      </c>
      <c r="C647" s="2">
        <v>1614</v>
      </c>
      <c r="D647" s="2">
        <v>270</v>
      </c>
      <c r="E647" s="2">
        <v>201</v>
      </c>
      <c r="F647" s="2">
        <v>200</v>
      </c>
      <c r="G647" s="2">
        <v>10369635</v>
      </c>
      <c r="H647" s="2">
        <v>1494817.23</v>
      </c>
      <c r="I647" s="2" t="s">
        <v>42</v>
      </c>
    </row>
    <row r="648" spans="1:9">
      <c r="A648" s="3">
        <v>45658</v>
      </c>
      <c r="B648" s="2" t="s">
        <v>8</v>
      </c>
      <c r="C648" s="2">
        <v>5135</v>
      </c>
      <c r="D648" s="2">
        <v>966</v>
      </c>
      <c r="E648" s="2">
        <v>762</v>
      </c>
      <c r="F648" s="2">
        <v>750</v>
      </c>
      <c r="G648" s="2">
        <v>37209180</v>
      </c>
      <c r="H648" s="2">
        <v>5044546.8</v>
      </c>
      <c r="I648" s="2" t="s">
        <v>36</v>
      </c>
    </row>
    <row r="649" spans="1:9">
      <c r="A649" s="3">
        <v>45778</v>
      </c>
      <c r="B649" s="2" t="s">
        <v>5</v>
      </c>
      <c r="C649" s="2">
        <v>379</v>
      </c>
      <c r="D649" s="2">
        <v>210</v>
      </c>
      <c r="E649" s="2">
        <v>191</v>
      </c>
      <c r="F649" s="2">
        <v>185</v>
      </c>
      <c r="G649" s="2">
        <v>6895325</v>
      </c>
      <c r="H649" s="2">
        <v>2321400</v>
      </c>
      <c r="I649" s="2" t="s">
        <v>36</v>
      </c>
    </row>
    <row r="650" spans="1:9">
      <c r="A650" s="3">
        <v>46054</v>
      </c>
      <c r="B650" s="2" t="s">
        <v>42</v>
      </c>
      <c r="C650" s="2">
        <v>5060</v>
      </c>
      <c r="D650" s="2">
        <v>9</v>
      </c>
      <c r="E650" s="2">
        <v>5</v>
      </c>
      <c r="F650" s="2">
        <v>5</v>
      </c>
      <c r="G650" s="2">
        <v>64408245</v>
      </c>
      <c r="H650" s="2">
        <v>20600</v>
      </c>
      <c r="I650" s="2" t="s">
        <v>40</v>
      </c>
    </row>
    <row r="651" spans="1:9">
      <c r="A651" s="3">
        <v>45931</v>
      </c>
      <c r="B651" s="2" t="s">
        <v>5</v>
      </c>
      <c r="C651" s="2">
        <v>1457</v>
      </c>
      <c r="D651" s="2">
        <v>854</v>
      </c>
      <c r="E651" s="2">
        <v>778</v>
      </c>
      <c r="F651" s="2">
        <v>765</v>
      </c>
      <c r="G651" s="2">
        <v>25953200</v>
      </c>
      <c r="H651" s="2">
        <v>8330900</v>
      </c>
      <c r="I651" s="2" t="s">
        <v>38</v>
      </c>
    </row>
    <row r="652" spans="1:9">
      <c r="A652" s="3">
        <v>45992</v>
      </c>
      <c r="B652" s="2" t="s">
        <v>6</v>
      </c>
      <c r="C652" s="2">
        <v>4460</v>
      </c>
      <c r="D652" s="2">
        <v>2132</v>
      </c>
      <c r="E652" s="2">
        <v>2003</v>
      </c>
      <c r="F652" s="2">
        <v>1995</v>
      </c>
      <c r="G652" s="2">
        <v>78552100</v>
      </c>
      <c r="H652" s="2">
        <v>27060800</v>
      </c>
      <c r="I652" s="2" t="s">
        <v>35</v>
      </c>
    </row>
    <row r="653" spans="1:9">
      <c r="A653" s="3">
        <v>45901</v>
      </c>
      <c r="B653" s="2" t="s">
        <v>9</v>
      </c>
      <c r="C653" s="2">
        <v>13175</v>
      </c>
      <c r="D653" s="2">
        <v>292</v>
      </c>
      <c r="E653" s="2">
        <v>145</v>
      </c>
      <c r="F653" s="2">
        <v>144</v>
      </c>
      <c r="G653" s="2">
        <v>95866260</v>
      </c>
      <c r="H653" s="2">
        <v>1200517.86</v>
      </c>
      <c r="I653" s="2" t="s">
        <v>37</v>
      </c>
    </row>
    <row r="654" spans="1:9">
      <c r="A654" s="3">
        <v>45689</v>
      </c>
      <c r="B654" s="2" t="s">
        <v>9</v>
      </c>
      <c r="C654" s="2">
        <v>8425</v>
      </c>
      <c r="D654" s="2">
        <v>230</v>
      </c>
      <c r="E654" s="2">
        <v>126</v>
      </c>
      <c r="F654" s="2">
        <v>126</v>
      </c>
      <c r="G654" s="2">
        <v>69747660</v>
      </c>
      <c r="H654" s="2">
        <v>945200</v>
      </c>
      <c r="I654" s="2" t="s">
        <v>43</v>
      </c>
    </row>
    <row r="655" spans="1:9">
      <c r="A655" s="3">
        <v>45870</v>
      </c>
      <c r="B655" s="2" t="s">
        <v>9</v>
      </c>
      <c r="C655" s="2">
        <v>1359</v>
      </c>
      <c r="D655" s="2">
        <v>33</v>
      </c>
      <c r="E655" s="2">
        <v>24</v>
      </c>
      <c r="F655" s="2">
        <v>24</v>
      </c>
      <c r="G655" s="2">
        <v>11845895</v>
      </c>
      <c r="H655" s="2">
        <v>214720</v>
      </c>
      <c r="I655" s="2" t="s">
        <v>36</v>
      </c>
    </row>
    <row r="656" spans="1:9">
      <c r="A656" s="3">
        <v>45717</v>
      </c>
      <c r="B656" s="2" t="s">
        <v>6</v>
      </c>
      <c r="C656" s="2">
        <v>5754</v>
      </c>
      <c r="D656" s="2">
        <v>2758</v>
      </c>
      <c r="E656" s="2">
        <v>2495</v>
      </c>
      <c r="F656" s="2">
        <v>2477</v>
      </c>
      <c r="G656" s="2">
        <v>114469180</v>
      </c>
      <c r="H656" s="2">
        <v>36925186.22</v>
      </c>
      <c r="I656" s="2" t="s">
        <v>43</v>
      </c>
    </row>
    <row r="657" spans="1:9">
      <c r="A657" s="3">
        <v>45962</v>
      </c>
      <c r="B657" s="2" t="s">
        <v>5</v>
      </c>
      <c r="C657" s="2">
        <v>12357</v>
      </c>
      <c r="D657" s="2">
        <v>5114</v>
      </c>
      <c r="E657" s="2">
        <v>4915</v>
      </c>
      <c r="F657" s="2">
        <v>4882</v>
      </c>
      <c r="G657" s="2">
        <v>349981200</v>
      </c>
      <c r="H657" s="2">
        <v>106666100</v>
      </c>
      <c r="I657" s="2" t="s">
        <v>35</v>
      </c>
    </row>
    <row r="658" spans="1:9">
      <c r="A658" s="3">
        <v>45962</v>
      </c>
      <c r="B658" s="2" t="s">
        <v>8</v>
      </c>
      <c r="C658" s="2">
        <v>50974</v>
      </c>
      <c r="D658" s="2">
        <v>4899</v>
      </c>
      <c r="E658" s="2">
        <v>4141</v>
      </c>
      <c r="F658" s="2">
        <v>4054</v>
      </c>
      <c r="G658" s="2">
        <v>447820105</v>
      </c>
      <c r="H658" s="2">
        <v>30207000</v>
      </c>
      <c r="I658" s="2" t="s">
        <v>43</v>
      </c>
    </row>
    <row r="659" spans="1:9">
      <c r="A659" s="3">
        <v>45748</v>
      </c>
      <c r="B659" s="2" t="s">
        <v>5</v>
      </c>
      <c r="C659" s="2">
        <v>13979</v>
      </c>
      <c r="D659" s="2">
        <v>6530</v>
      </c>
      <c r="E659" s="2">
        <v>6340</v>
      </c>
      <c r="F659" s="2">
        <v>6296</v>
      </c>
      <c r="G659" s="2">
        <v>286803470</v>
      </c>
      <c r="H659" s="2">
        <v>97796793.99</v>
      </c>
      <c r="I659" s="2" t="s">
        <v>43</v>
      </c>
    </row>
    <row r="660" spans="1:9">
      <c r="A660" s="3">
        <v>45809</v>
      </c>
      <c r="B660" s="2" t="s">
        <v>9</v>
      </c>
      <c r="C660" s="2">
        <v>7661</v>
      </c>
      <c r="D660" s="2">
        <v>625</v>
      </c>
      <c r="E660" s="2">
        <v>176</v>
      </c>
      <c r="F660" s="2">
        <v>173</v>
      </c>
      <c r="G660" s="2">
        <v>38913920</v>
      </c>
      <c r="H660" s="2">
        <v>682215</v>
      </c>
      <c r="I660" s="2" t="s">
        <v>44</v>
      </c>
    </row>
    <row r="661" spans="1:9">
      <c r="A661" s="3">
        <v>45717</v>
      </c>
      <c r="B661" s="2" t="s">
        <v>9</v>
      </c>
      <c r="C661" s="2">
        <v>1236</v>
      </c>
      <c r="D661" s="2">
        <v>50</v>
      </c>
      <c r="E661" s="2">
        <v>21</v>
      </c>
      <c r="F661" s="2">
        <v>21</v>
      </c>
      <c r="G661" s="2">
        <v>10500160</v>
      </c>
      <c r="H661" s="2">
        <v>178100</v>
      </c>
      <c r="I661" s="2" t="s">
        <v>36</v>
      </c>
    </row>
    <row r="662" spans="1:9">
      <c r="A662" s="3">
        <v>45839</v>
      </c>
      <c r="B662" s="2" t="s">
        <v>6</v>
      </c>
      <c r="C662" s="2">
        <v>87</v>
      </c>
      <c r="D662" s="2">
        <v>46</v>
      </c>
      <c r="E662" s="2">
        <v>34</v>
      </c>
      <c r="F662" s="2">
        <v>34</v>
      </c>
      <c r="G662" s="2">
        <v>1211505</v>
      </c>
      <c r="H662" s="2">
        <v>335900</v>
      </c>
      <c r="I662" s="2" t="s">
        <v>39</v>
      </c>
    </row>
    <row r="663" spans="1:9">
      <c r="A663" s="3">
        <v>45992</v>
      </c>
      <c r="B663" s="2" t="s">
        <v>8</v>
      </c>
      <c r="C663" s="2">
        <v>11214</v>
      </c>
      <c r="D663" s="2">
        <v>834</v>
      </c>
      <c r="E663" s="2">
        <v>613</v>
      </c>
      <c r="F663" s="2">
        <v>597</v>
      </c>
      <c r="G663" s="2">
        <v>75007810</v>
      </c>
      <c r="H663" s="2">
        <v>4145300</v>
      </c>
      <c r="I663" s="2" t="s">
        <v>40</v>
      </c>
    </row>
    <row r="664" spans="1:9">
      <c r="A664" s="3">
        <v>45962</v>
      </c>
      <c r="B664" s="2" t="s">
        <v>5</v>
      </c>
      <c r="C664" s="2">
        <v>19351</v>
      </c>
      <c r="D664" s="2">
        <v>7676</v>
      </c>
      <c r="E664" s="2">
        <v>7400</v>
      </c>
      <c r="F664" s="2">
        <v>7361</v>
      </c>
      <c r="G664" s="2">
        <v>672370300</v>
      </c>
      <c r="H664" s="2">
        <v>163458800</v>
      </c>
      <c r="I664" s="2" t="s">
        <v>41</v>
      </c>
    </row>
    <row r="665" spans="1:9">
      <c r="A665" s="3">
        <v>45962</v>
      </c>
      <c r="B665" s="2" t="s">
        <v>10</v>
      </c>
      <c r="C665" s="2">
        <v>279934</v>
      </c>
      <c r="D665" s="2">
        <v>11153</v>
      </c>
      <c r="E665" s="2">
        <v>2428</v>
      </c>
      <c r="F665" s="2">
        <v>2413</v>
      </c>
      <c r="G665" s="2">
        <v>2221481992</v>
      </c>
      <c r="H665" s="2">
        <v>13795500</v>
      </c>
      <c r="I665" s="2" t="s">
        <v>44</v>
      </c>
    </row>
    <row r="666" spans="1:9">
      <c r="A666" s="3">
        <v>45689</v>
      </c>
      <c r="B666" s="2" t="s">
        <v>8</v>
      </c>
      <c r="C666" s="2">
        <v>6723</v>
      </c>
      <c r="D666" s="2">
        <v>1214</v>
      </c>
      <c r="E666" s="2">
        <v>951</v>
      </c>
      <c r="F666" s="2">
        <v>940</v>
      </c>
      <c r="G666" s="2">
        <v>38471910</v>
      </c>
      <c r="H666" s="2">
        <v>5344270.54</v>
      </c>
      <c r="I666" s="2" t="s">
        <v>40</v>
      </c>
    </row>
    <row r="667" spans="1:9">
      <c r="A667" s="3">
        <v>45689</v>
      </c>
      <c r="B667" s="2" t="s">
        <v>9</v>
      </c>
      <c r="C667" s="2">
        <v>3325</v>
      </c>
      <c r="D667" s="2">
        <v>93</v>
      </c>
      <c r="E667" s="2">
        <v>48</v>
      </c>
      <c r="F667" s="2">
        <v>48</v>
      </c>
      <c r="G667" s="2">
        <v>24253301</v>
      </c>
      <c r="H667" s="2">
        <v>328700</v>
      </c>
      <c r="I667" s="2" t="s">
        <v>40</v>
      </c>
    </row>
    <row r="668" spans="1:9">
      <c r="A668" s="3">
        <v>46082</v>
      </c>
      <c r="B668" s="2" t="s">
        <v>42</v>
      </c>
      <c r="C668" s="2">
        <v>5055</v>
      </c>
      <c r="D668" s="2">
        <v>0</v>
      </c>
      <c r="E668" s="2" t="s">
        <v>45</v>
      </c>
      <c r="F668" s="2">
        <v>0</v>
      </c>
      <c r="G668" s="2">
        <v>64397045</v>
      </c>
      <c r="H668" s="2" t="s">
        <v>45</v>
      </c>
      <c r="I668" s="2" t="s">
        <v>40</v>
      </c>
    </row>
    <row r="669" spans="1:9">
      <c r="A669" s="3">
        <v>45778</v>
      </c>
      <c r="B669" s="2" t="s">
        <v>5</v>
      </c>
      <c r="C669" s="2">
        <v>15447</v>
      </c>
      <c r="D669" s="2">
        <v>8703</v>
      </c>
      <c r="E669" s="2">
        <v>7799</v>
      </c>
      <c r="F669" s="2">
        <v>7710</v>
      </c>
      <c r="G669" s="2">
        <v>292123250</v>
      </c>
      <c r="H669" s="2">
        <v>93070751</v>
      </c>
      <c r="I669" s="2" t="s">
        <v>37</v>
      </c>
    </row>
    <row r="670" spans="1:9">
      <c r="A670" s="3">
        <v>45778</v>
      </c>
      <c r="B670" s="2" t="s">
        <v>6</v>
      </c>
      <c r="C670" s="2">
        <v>171</v>
      </c>
      <c r="D670" s="2">
        <v>70</v>
      </c>
      <c r="E670" s="2">
        <v>64</v>
      </c>
      <c r="F670" s="2">
        <v>62</v>
      </c>
      <c r="G670" s="2">
        <v>2763120</v>
      </c>
      <c r="H670" s="2">
        <v>712147.73</v>
      </c>
      <c r="I670" s="2" t="s">
        <v>42</v>
      </c>
    </row>
    <row r="671" spans="1:9">
      <c r="A671" s="3">
        <v>45870</v>
      </c>
      <c r="B671" s="2" t="s">
        <v>6</v>
      </c>
      <c r="C671" s="2">
        <v>142</v>
      </c>
      <c r="D671" s="2">
        <v>69</v>
      </c>
      <c r="E671" s="2">
        <v>64</v>
      </c>
      <c r="F671" s="2">
        <v>64</v>
      </c>
      <c r="G671" s="2">
        <v>2488830</v>
      </c>
      <c r="H671" s="2">
        <v>899042.8</v>
      </c>
      <c r="I671" s="2" t="s">
        <v>42</v>
      </c>
    </row>
    <row r="672" spans="1:9">
      <c r="A672" s="3">
        <v>45748</v>
      </c>
      <c r="B672" s="2" t="s">
        <v>10</v>
      </c>
      <c r="C672" s="2">
        <v>212555</v>
      </c>
      <c r="D672" s="2">
        <v>14705</v>
      </c>
      <c r="E672" s="2">
        <v>5578</v>
      </c>
      <c r="F672" s="2">
        <v>5553</v>
      </c>
      <c r="G672" s="2">
        <v>1553725751</v>
      </c>
      <c r="H672" s="2">
        <v>29124759.51</v>
      </c>
      <c r="I672" s="2" t="s">
        <v>44</v>
      </c>
    </row>
    <row r="673" spans="1:9">
      <c r="A673" s="3">
        <v>45931</v>
      </c>
      <c r="B673" s="2" t="s">
        <v>9</v>
      </c>
      <c r="C673" s="2">
        <v>2965</v>
      </c>
      <c r="D673" s="2">
        <v>44</v>
      </c>
      <c r="E673" s="2">
        <v>22</v>
      </c>
      <c r="F673" s="2">
        <v>22</v>
      </c>
      <c r="G673" s="2">
        <v>23509395</v>
      </c>
      <c r="H673" s="2">
        <v>266400</v>
      </c>
      <c r="I673" s="2" t="s">
        <v>41</v>
      </c>
    </row>
    <row r="674" spans="1:9">
      <c r="A674" s="3">
        <v>45901</v>
      </c>
      <c r="B674" s="2" t="s">
        <v>5</v>
      </c>
      <c r="C674" s="2">
        <v>298</v>
      </c>
      <c r="D674" s="2">
        <v>108</v>
      </c>
      <c r="E674" s="2">
        <v>95</v>
      </c>
      <c r="F674" s="2">
        <v>89</v>
      </c>
      <c r="G674" s="2">
        <v>5333100</v>
      </c>
      <c r="H674" s="2">
        <v>1237800</v>
      </c>
      <c r="I674" s="2" t="s">
        <v>39</v>
      </c>
    </row>
    <row r="675" spans="1:9">
      <c r="A675" s="3">
        <v>45778</v>
      </c>
      <c r="B675" s="2" t="s">
        <v>9</v>
      </c>
      <c r="C675" s="2">
        <v>9085</v>
      </c>
      <c r="D675" s="2">
        <v>251</v>
      </c>
      <c r="E675" s="2">
        <v>108</v>
      </c>
      <c r="F675" s="2">
        <v>108</v>
      </c>
      <c r="G675" s="2">
        <v>74800580</v>
      </c>
      <c r="H675" s="2">
        <v>776320</v>
      </c>
      <c r="I675" s="2" t="s">
        <v>43</v>
      </c>
    </row>
    <row r="676" spans="1:9">
      <c r="A676" s="3">
        <v>45778</v>
      </c>
      <c r="B676" s="2" t="s">
        <v>6</v>
      </c>
      <c r="C676" s="2">
        <v>701</v>
      </c>
      <c r="D676" s="2">
        <v>354</v>
      </c>
      <c r="E676" s="2">
        <v>304</v>
      </c>
      <c r="F676" s="2">
        <v>303</v>
      </c>
      <c r="G676" s="2">
        <v>10291230</v>
      </c>
      <c r="H676" s="2">
        <v>3152993.14</v>
      </c>
      <c r="I676" s="2" t="s">
        <v>38</v>
      </c>
    </row>
    <row r="677" spans="1:9">
      <c r="A677" s="3">
        <v>45658</v>
      </c>
      <c r="B677" s="2" t="s">
        <v>9</v>
      </c>
      <c r="C677" s="2">
        <v>5147</v>
      </c>
      <c r="D677" s="2">
        <v>192</v>
      </c>
      <c r="E677" s="2">
        <v>99</v>
      </c>
      <c r="F677" s="2">
        <v>99</v>
      </c>
      <c r="G677" s="2">
        <v>43896260</v>
      </c>
      <c r="H677" s="2">
        <v>805500</v>
      </c>
      <c r="I677" s="2" t="s">
        <v>35</v>
      </c>
    </row>
    <row r="678" spans="1:9">
      <c r="A678" s="3">
        <v>46054</v>
      </c>
      <c r="B678" s="2" t="s">
        <v>9</v>
      </c>
      <c r="C678" s="2">
        <v>1407</v>
      </c>
      <c r="D678" s="2">
        <v>3</v>
      </c>
      <c r="E678" s="2">
        <v>2</v>
      </c>
      <c r="F678" s="2">
        <v>2</v>
      </c>
      <c r="G678" s="2">
        <v>12413935</v>
      </c>
      <c r="H678" s="2">
        <v>2900</v>
      </c>
      <c r="I678" s="2" t="s">
        <v>36</v>
      </c>
    </row>
    <row r="679" spans="1:9">
      <c r="A679" s="3">
        <v>45992</v>
      </c>
      <c r="B679" s="2" t="s">
        <v>6</v>
      </c>
      <c r="C679" s="2">
        <v>560</v>
      </c>
      <c r="D679" s="2">
        <v>253</v>
      </c>
      <c r="E679" s="2">
        <v>226</v>
      </c>
      <c r="F679" s="2">
        <v>225</v>
      </c>
      <c r="G679" s="2">
        <v>9035500</v>
      </c>
      <c r="H679" s="2">
        <v>2702300</v>
      </c>
      <c r="I679" s="2" t="s">
        <v>36</v>
      </c>
    </row>
    <row r="680" spans="1:9">
      <c r="A680" s="3">
        <v>46054</v>
      </c>
      <c r="B680" s="2" t="s">
        <v>5</v>
      </c>
      <c r="C680" s="2">
        <v>101</v>
      </c>
      <c r="D680" s="2">
        <v>52</v>
      </c>
      <c r="E680" s="2">
        <v>52</v>
      </c>
      <c r="F680" s="2">
        <v>52</v>
      </c>
      <c r="G680" s="2">
        <v>835200</v>
      </c>
      <c r="H680" s="2">
        <v>336800</v>
      </c>
      <c r="I680" s="2" t="s">
        <v>36</v>
      </c>
    </row>
    <row r="681" spans="1:9">
      <c r="A681" s="3">
        <v>45689</v>
      </c>
      <c r="B681" s="2" t="s">
        <v>6</v>
      </c>
      <c r="C681" s="2">
        <v>5934</v>
      </c>
      <c r="D681" s="2">
        <v>2933</v>
      </c>
      <c r="E681" s="2">
        <v>2678</v>
      </c>
      <c r="F681" s="2">
        <v>2652</v>
      </c>
      <c r="G681" s="2">
        <v>125413575</v>
      </c>
      <c r="H681" s="2">
        <v>42510639.04</v>
      </c>
      <c r="I681" s="2" t="s">
        <v>35</v>
      </c>
    </row>
    <row r="682" spans="1:9">
      <c r="A682" s="3">
        <v>45778</v>
      </c>
      <c r="B682" s="2" t="s">
        <v>8</v>
      </c>
      <c r="C682" s="2">
        <v>9134</v>
      </c>
      <c r="D682" s="2">
        <v>1558</v>
      </c>
      <c r="E682" s="2">
        <v>1188</v>
      </c>
      <c r="F682" s="2">
        <v>1165</v>
      </c>
      <c r="G682" s="2">
        <v>59516210</v>
      </c>
      <c r="H682" s="2">
        <v>7248645.08</v>
      </c>
      <c r="I682" s="2" t="s">
        <v>40</v>
      </c>
    </row>
    <row r="683" spans="1:9">
      <c r="A683" s="3">
        <v>45717</v>
      </c>
      <c r="B683" s="2" t="s">
        <v>8</v>
      </c>
      <c r="C683" s="2">
        <v>2166</v>
      </c>
      <c r="D683" s="2">
        <v>433</v>
      </c>
      <c r="E683" s="2">
        <v>359</v>
      </c>
      <c r="F683" s="2">
        <v>356</v>
      </c>
      <c r="G683" s="2">
        <v>15233210</v>
      </c>
      <c r="H683" s="2">
        <v>2612523.5</v>
      </c>
      <c r="I683" s="2" t="s">
        <v>42</v>
      </c>
    </row>
    <row r="684" spans="1:9">
      <c r="A684" s="3">
        <v>45717</v>
      </c>
      <c r="B684" s="2" t="s">
        <v>8</v>
      </c>
      <c r="C684" s="2">
        <v>6568</v>
      </c>
      <c r="D684" s="2">
        <v>1158</v>
      </c>
      <c r="E684" s="2">
        <v>988</v>
      </c>
      <c r="F684" s="2">
        <v>986</v>
      </c>
      <c r="G684" s="2">
        <v>53626195</v>
      </c>
      <c r="H684" s="2">
        <v>7855414.58</v>
      </c>
      <c r="I684" s="2" t="s">
        <v>36</v>
      </c>
    </row>
    <row r="685" spans="1:9">
      <c r="A685" s="3">
        <v>45658</v>
      </c>
      <c r="B685" s="2" t="s">
        <v>5</v>
      </c>
      <c r="C685" s="2">
        <v>1149</v>
      </c>
      <c r="D685" s="2">
        <v>595</v>
      </c>
      <c r="E685" s="2">
        <v>495</v>
      </c>
      <c r="F685" s="2">
        <v>484</v>
      </c>
      <c r="G685" s="2">
        <v>18762490</v>
      </c>
      <c r="H685" s="2">
        <v>5536901</v>
      </c>
      <c r="I685" s="2" t="s">
        <v>39</v>
      </c>
    </row>
    <row r="686" spans="1:9">
      <c r="A686" s="3">
        <v>45809</v>
      </c>
      <c r="B686" s="2" t="s">
        <v>6</v>
      </c>
      <c r="C686" s="2">
        <v>1061</v>
      </c>
      <c r="D686" s="2">
        <v>623</v>
      </c>
      <c r="E686" s="2">
        <v>551</v>
      </c>
      <c r="F686" s="2">
        <v>546</v>
      </c>
      <c r="G686" s="2">
        <v>16467450</v>
      </c>
      <c r="H686" s="2">
        <v>6153279.72</v>
      </c>
      <c r="I686" s="2" t="s">
        <v>40</v>
      </c>
    </row>
    <row r="687" spans="1:9">
      <c r="A687" s="3">
        <v>46082</v>
      </c>
      <c r="B687" s="2" t="s">
        <v>8</v>
      </c>
      <c r="C687" s="2">
        <v>78758</v>
      </c>
      <c r="D687" s="2">
        <v>251</v>
      </c>
      <c r="E687" s="2">
        <v>113</v>
      </c>
      <c r="F687" s="2">
        <v>110</v>
      </c>
      <c r="G687" s="2">
        <v>584235195</v>
      </c>
      <c r="H687" s="2">
        <v>516800</v>
      </c>
      <c r="I687" s="2" t="s">
        <v>37</v>
      </c>
    </row>
    <row r="688" spans="1:9">
      <c r="A688" s="3">
        <v>45839</v>
      </c>
      <c r="B688" s="2" t="s">
        <v>7</v>
      </c>
      <c r="C688" s="2">
        <v>664672</v>
      </c>
      <c r="D688" s="2">
        <v>3047</v>
      </c>
      <c r="E688" s="2">
        <v>1874</v>
      </c>
      <c r="F688" s="2">
        <v>1862</v>
      </c>
      <c r="G688" s="2">
        <v>12218778734</v>
      </c>
      <c r="H688" s="2">
        <v>23510797.82</v>
      </c>
      <c r="I688" s="2" t="s">
        <v>43</v>
      </c>
    </row>
    <row r="689" spans="1:9">
      <c r="A689" s="3">
        <v>45778</v>
      </c>
      <c r="B689" s="2" t="s">
        <v>8</v>
      </c>
      <c r="C689" s="2">
        <v>12525</v>
      </c>
      <c r="D689" s="2">
        <v>2053</v>
      </c>
      <c r="E689" s="2">
        <v>1623</v>
      </c>
      <c r="F689" s="2">
        <v>1601</v>
      </c>
      <c r="G689" s="2">
        <v>91669860</v>
      </c>
      <c r="H689" s="2">
        <v>10760151.82</v>
      </c>
      <c r="I689" s="2" t="s">
        <v>38</v>
      </c>
    </row>
    <row r="690" spans="1:9">
      <c r="A690" s="3">
        <v>45870</v>
      </c>
      <c r="B690" s="2" t="s">
        <v>6</v>
      </c>
      <c r="C690" s="2">
        <v>1039</v>
      </c>
      <c r="D690" s="2">
        <v>579</v>
      </c>
      <c r="E690" s="2">
        <v>514</v>
      </c>
      <c r="F690" s="2">
        <v>511</v>
      </c>
      <c r="G690" s="2">
        <v>17175140</v>
      </c>
      <c r="H690" s="2">
        <v>6534456.75</v>
      </c>
      <c r="I690" s="2" t="s">
        <v>40</v>
      </c>
    </row>
    <row r="691" spans="1:9">
      <c r="A691" s="3">
        <v>45658</v>
      </c>
      <c r="B691" s="2" t="s">
        <v>9</v>
      </c>
      <c r="C691" s="2">
        <v>8156</v>
      </c>
      <c r="D691" s="2">
        <v>276</v>
      </c>
      <c r="E691" s="2">
        <v>129</v>
      </c>
      <c r="F691" s="2">
        <v>128</v>
      </c>
      <c r="G691" s="2">
        <v>67957675</v>
      </c>
      <c r="H691" s="2">
        <v>1165700</v>
      </c>
      <c r="I691" s="2" t="s">
        <v>43</v>
      </c>
    </row>
    <row r="692" spans="1:9">
      <c r="A692" s="3">
        <v>45901</v>
      </c>
      <c r="B692" s="2" t="s">
        <v>6</v>
      </c>
      <c r="C692" s="2">
        <v>6215</v>
      </c>
      <c r="D692" s="2">
        <v>3110</v>
      </c>
      <c r="E692" s="2">
        <v>2730</v>
      </c>
      <c r="F692" s="2">
        <v>2702</v>
      </c>
      <c r="G692" s="2">
        <v>127399100</v>
      </c>
      <c r="H692" s="2">
        <v>44502018.56</v>
      </c>
      <c r="I692" s="2" t="s">
        <v>43</v>
      </c>
    </row>
    <row r="693" spans="1:9">
      <c r="A693" s="3">
        <v>45717</v>
      </c>
      <c r="B693" s="2" t="s">
        <v>5</v>
      </c>
      <c r="C693" s="2">
        <v>308</v>
      </c>
      <c r="D693" s="2">
        <v>169</v>
      </c>
      <c r="E693" s="2">
        <v>152</v>
      </c>
      <c r="F693" s="2">
        <v>150</v>
      </c>
      <c r="G693" s="2">
        <v>6246775</v>
      </c>
      <c r="H693" s="2">
        <v>2128250</v>
      </c>
      <c r="I693" s="2" t="s">
        <v>36</v>
      </c>
    </row>
    <row r="694" spans="1:9">
      <c r="A694" s="3">
        <v>45778</v>
      </c>
      <c r="B694" s="2" t="s">
        <v>5</v>
      </c>
      <c r="C694" s="2">
        <v>30904</v>
      </c>
      <c r="D694" s="2">
        <v>12122</v>
      </c>
      <c r="E694" s="2">
        <v>11730</v>
      </c>
      <c r="F694" s="2">
        <v>11614</v>
      </c>
      <c r="G694" s="2">
        <v>909652370</v>
      </c>
      <c r="H694" s="2">
        <v>219371463.9</v>
      </c>
      <c r="I694" s="2" t="s">
        <v>41</v>
      </c>
    </row>
    <row r="695" spans="1:9">
      <c r="A695" s="3">
        <v>45658</v>
      </c>
      <c r="B695" s="2" t="s">
        <v>8</v>
      </c>
      <c r="C695" s="2">
        <v>7763</v>
      </c>
      <c r="D695" s="2">
        <v>1397</v>
      </c>
      <c r="E695" s="2">
        <v>1083</v>
      </c>
      <c r="F695" s="2">
        <v>1080</v>
      </c>
      <c r="G695" s="2">
        <v>47894160</v>
      </c>
      <c r="H695" s="2">
        <v>6765310.36</v>
      </c>
      <c r="I695" s="2" t="s">
        <v>38</v>
      </c>
    </row>
    <row r="696" spans="1:9">
      <c r="A696" s="3">
        <v>45809</v>
      </c>
      <c r="B696" s="2" t="s">
        <v>8</v>
      </c>
      <c r="C696" s="2">
        <v>2623</v>
      </c>
      <c r="D696" s="2">
        <v>323</v>
      </c>
      <c r="E696" s="2">
        <v>267</v>
      </c>
      <c r="F696" s="2">
        <v>259</v>
      </c>
      <c r="G696" s="2">
        <v>19886655</v>
      </c>
      <c r="H696" s="2">
        <v>2129012.99</v>
      </c>
      <c r="I696" s="2" t="s">
        <v>42</v>
      </c>
    </row>
    <row r="697" spans="1:9">
      <c r="A697" s="3">
        <v>45931</v>
      </c>
      <c r="B697" s="2" t="s">
        <v>8</v>
      </c>
      <c r="C697" s="2">
        <v>74580</v>
      </c>
      <c r="D697" s="2">
        <v>7309</v>
      </c>
      <c r="E697" s="2">
        <v>5541</v>
      </c>
      <c r="F697" s="2">
        <v>5480</v>
      </c>
      <c r="G697" s="2">
        <v>565925445</v>
      </c>
      <c r="H697" s="2">
        <v>35240500</v>
      </c>
      <c r="I697" s="2" t="s">
        <v>37</v>
      </c>
    </row>
    <row r="698" spans="1:9">
      <c r="A698" s="3">
        <v>45658</v>
      </c>
      <c r="B698" s="2" t="s">
        <v>6</v>
      </c>
      <c r="C698" s="2">
        <v>147</v>
      </c>
      <c r="D698" s="2">
        <v>80</v>
      </c>
      <c r="E698" s="2">
        <v>67</v>
      </c>
      <c r="F698" s="2">
        <v>66</v>
      </c>
      <c r="G698" s="2">
        <v>2865560</v>
      </c>
      <c r="H698" s="2">
        <v>888555</v>
      </c>
      <c r="I698" s="2" t="s">
        <v>42</v>
      </c>
    </row>
    <row r="699" spans="1:9">
      <c r="A699" s="3">
        <v>45839</v>
      </c>
      <c r="B699" s="2" t="s">
        <v>6</v>
      </c>
      <c r="C699" s="2">
        <v>903</v>
      </c>
      <c r="D699" s="2">
        <v>403</v>
      </c>
      <c r="E699" s="2">
        <v>367</v>
      </c>
      <c r="F699" s="2">
        <v>366</v>
      </c>
      <c r="G699" s="2">
        <v>19063070</v>
      </c>
      <c r="H699" s="2">
        <v>5752298.04</v>
      </c>
      <c r="I699" s="2" t="s">
        <v>36</v>
      </c>
    </row>
    <row r="700" spans="1:9">
      <c r="A700" s="3">
        <v>45839</v>
      </c>
      <c r="B700" s="2" t="s">
        <v>7</v>
      </c>
      <c r="C700" s="2">
        <v>681016</v>
      </c>
      <c r="D700" s="2">
        <v>4137</v>
      </c>
      <c r="E700" s="2">
        <v>2885</v>
      </c>
      <c r="F700" s="2">
        <v>2877</v>
      </c>
      <c r="G700" s="2">
        <v>16083755461</v>
      </c>
      <c r="H700" s="2">
        <v>44606078.27</v>
      </c>
      <c r="I700" s="2" t="s">
        <v>35</v>
      </c>
    </row>
    <row r="701" spans="1:9">
      <c r="A701" s="3">
        <v>45839</v>
      </c>
      <c r="B701" s="2" t="s">
        <v>7</v>
      </c>
      <c r="C701" s="2">
        <v>126061</v>
      </c>
      <c r="D701" s="2">
        <v>496</v>
      </c>
      <c r="E701" s="2">
        <v>267</v>
      </c>
      <c r="F701" s="2">
        <v>258</v>
      </c>
      <c r="G701" s="2">
        <v>1708708357</v>
      </c>
      <c r="H701" s="2">
        <v>2340295.94</v>
      </c>
      <c r="I701" s="2" t="s">
        <v>38</v>
      </c>
    </row>
    <row r="702" spans="1:9">
      <c r="A702" s="3">
        <v>46054</v>
      </c>
      <c r="B702" s="2" t="s">
        <v>7</v>
      </c>
      <c r="C702" s="2">
        <v>582625</v>
      </c>
      <c r="D702" s="2">
        <v>1569</v>
      </c>
      <c r="E702" s="2">
        <v>1005</v>
      </c>
      <c r="F702" s="2">
        <v>1003</v>
      </c>
      <c r="G702" s="2">
        <v>14876466293</v>
      </c>
      <c r="H702" s="2">
        <v>21630900</v>
      </c>
      <c r="I702" s="2" t="s">
        <v>41</v>
      </c>
    </row>
    <row r="703" spans="1:9">
      <c r="A703" s="3">
        <v>45901</v>
      </c>
      <c r="B703" s="2" t="s">
        <v>8</v>
      </c>
      <c r="C703" s="2">
        <v>70226</v>
      </c>
      <c r="D703" s="2">
        <v>5921</v>
      </c>
      <c r="E703" s="2">
        <v>4081</v>
      </c>
      <c r="F703" s="2">
        <v>4029</v>
      </c>
      <c r="G703" s="2">
        <v>534526870</v>
      </c>
      <c r="H703" s="2">
        <v>26856648.01</v>
      </c>
      <c r="I703" s="2" t="s">
        <v>37</v>
      </c>
    </row>
    <row r="704" spans="1:9">
      <c r="A704" s="3">
        <v>45901</v>
      </c>
      <c r="B704" s="2" t="s">
        <v>9</v>
      </c>
      <c r="C704" s="2">
        <v>9100</v>
      </c>
      <c r="D704" s="2">
        <v>723</v>
      </c>
      <c r="E704" s="2">
        <v>147</v>
      </c>
      <c r="F704" s="2">
        <v>148</v>
      </c>
      <c r="G704" s="2">
        <v>46279365</v>
      </c>
      <c r="H704" s="2">
        <v>686900</v>
      </c>
      <c r="I704" s="2" t="s">
        <v>44</v>
      </c>
    </row>
    <row r="705" spans="1:9">
      <c r="A705" s="3">
        <v>45901</v>
      </c>
      <c r="B705" s="2" t="s">
        <v>5</v>
      </c>
      <c r="C705" s="2">
        <v>942</v>
      </c>
      <c r="D705" s="2">
        <v>468</v>
      </c>
      <c r="E705" s="2">
        <v>441</v>
      </c>
      <c r="F705" s="2">
        <v>432</v>
      </c>
      <c r="G705" s="2">
        <v>19898900</v>
      </c>
      <c r="H705" s="2">
        <v>6951900</v>
      </c>
      <c r="I705" s="2" t="s">
        <v>36</v>
      </c>
    </row>
    <row r="706" spans="1:9">
      <c r="A706" s="3">
        <v>45778</v>
      </c>
      <c r="B706" s="2" t="s">
        <v>6</v>
      </c>
      <c r="C706" s="2">
        <v>6600</v>
      </c>
      <c r="D706" s="2">
        <v>3227</v>
      </c>
      <c r="E706" s="2">
        <v>2846</v>
      </c>
      <c r="F706" s="2">
        <v>2818</v>
      </c>
      <c r="G706" s="2">
        <v>118404360</v>
      </c>
      <c r="H706" s="2">
        <v>35172630.97</v>
      </c>
      <c r="I706" s="2" t="s">
        <v>37</v>
      </c>
    </row>
    <row r="707" spans="1:9">
      <c r="A707" s="3">
        <v>46054</v>
      </c>
      <c r="B707" s="2" t="s">
        <v>9</v>
      </c>
      <c r="C707" s="2">
        <v>3664</v>
      </c>
      <c r="D707" s="2">
        <v>11</v>
      </c>
      <c r="E707" s="2">
        <v>2</v>
      </c>
      <c r="F707" s="2">
        <v>2</v>
      </c>
      <c r="G707" s="2">
        <v>26786711</v>
      </c>
      <c r="H707" s="2">
        <v>91800</v>
      </c>
      <c r="I707" s="2" t="s">
        <v>40</v>
      </c>
    </row>
    <row r="708" spans="1:9">
      <c r="A708" s="3">
        <v>45748</v>
      </c>
      <c r="B708" s="2" t="s">
        <v>9</v>
      </c>
      <c r="C708" s="2">
        <v>2813</v>
      </c>
      <c r="D708" s="2">
        <v>67</v>
      </c>
      <c r="E708" s="2">
        <v>33</v>
      </c>
      <c r="F708" s="2">
        <v>33</v>
      </c>
      <c r="G708" s="2">
        <v>22051255</v>
      </c>
      <c r="H708" s="2">
        <v>275300</v>
      </c>
      <c r="I708" s="2" t="s">
        <v>41</v>
      </c>
    </row>
    <row r="709" spans="1:9">
      <c r="A709" s="3">
        <v>45870</v>
      </c>
      <c r="B709" s="2" t="s">
        <v>5</v>
      </c>
      <c r="C709" s="2">
        <v>9004</v>
      </c>
      <c r="D709" s="2">
        <v>5098</v>
      </c>
      <c r="E709" s="2">
        <v>4809</v>
      </c>
      <c r="F709" s="2">
        <v>4761</v>
      </c>
      <c r="G709" s="2">
        <v>168553935</v>
      </c>
      <c r="H709" s="2">
        <v>63656760</v>
      </c>
      <c r="I709" s="2" t="s">
        <v>40</v>
      </c>
    </row>
    <row r="710" spans="1:9">
      <c r="A710" s="3">
        <v>46023</v>
      </c>
      <c r="B710" s="2" t="s">
        <v>8</v>
      </c>
      <c r="C710" s="2">
        <v>26242</v>
      </c>
      <c r="D710" s="2">
        <v>1109</v>
      </c>
      <c r="E710" s="2">
        <v>722</v>
      </c>
      <c r="F710" s="2">
        <v>712</v>
      </c>
      <c r="G710" s="2">
        <v>241398010</v>
      </c>
      <c r="H710" s="2">
        <v>4462400</v>
      </c>
      <c r="I710" s="2" t="s">
        <v>35</v>
      </c>
    </row>
    <row r="711" spans="1:9">
      <c r="A711" s="3">
        <v>45870</v>
      </c>
      <c r="B711" s="2" t="s">
        <v>8</v>
      </c>
      <c r="C711" s="2">
        <v>5036</v>
      </c>
      <c r="D711" s="2">
        <v>876</v>
      </c>
      <c r="E711" s="2">
        <v>707</v>
      </c>
      <c r="F711" s="2">
        <v>707</v>
      </c>
      <c r="G711" s="2">
        <v>30477785</v>
      </c>
      <c r="H711" s="2">
        <v>3765486.7</v>
      </c>
      <c r="I711" s="2" t="s">
        <v>44</v>
      </c>
    </row>
    <row r="712" spans="1:9">
      <c r="A712" s="3">
        <v>45839</v>
      </c>
      <c r="B712" s="2" t="s">
        <v>9</v>
      </c>
      <c r="C712" s="2">
        <v>1018</v>
      </c>
      <c r="D712" s="2">
        <v>10</v>
      </c>
      <c r="E712" s="2">
        <v>9</v>
      </c>
      <c r="F712" s="2">
        <v>9</v>
      </c>
      <c r="G712" s="2">
        <v>7473810</v>
      </c>
      <c r="H712" s="2">
        <v>45500</v>
      </c>
      <c r="I712" s="2" t="s">
        <v>39</v>
      </c>
    </row>
    <row r="713" spans="1:9">
      <c r="A713" s="3">
        <v>45658</v>
      </c>
      <c r="B713" s="2" t="s">
        <v>6</v>
      </c>
      <c r="C713" s="2">
        <v>998</v>
      </c>
      <c r="D713" s="2">
        <v>638</v>
      </c>
      <c r="E713" s="2">
        <v>532</v>
      </c>
      <c r="F713" s="2">
        <v>527</v>
      </c>
      <c r="G713" s="2">
        <v>14139455</v>
      </c>
      <c r="H713" s="2">
        <v>6073190.13</v>
      </c>
      <c r="I713" s="2" t="s">
        <v>40</v>
      </c>
    </row>
    <row r="714" spans="1:9">
      <c r="A714" s="3">
        <v>46023</v>
      </c>
      <c r="B714" s="2" t="s">
        <v>9</v>
      </c>
      <c r="C714" s="2">
        <v>2406</v>
      </c>
      <c r="D714" s="2">
        <v>29</v>
      </c>
      <c r="E714" s="2">
        <v>15</v>
      </c>
      <c r="F714" s="2">
        <v>15</v>
      </c>
      <c r="G714" s="2">
        <v>16415155</v>
      </c>
      <c r="H714" s="2">
        <v>133200</v>
      </c>
      <c r="I714" s="2" t="s">
        <v>38</v>
      </c>
    </row>
    <row r="715" spans="1:9">
      <c r="A715" s="3">
        <v>45931</v>
      </c>
      <c r="B715" s="2" t="s">
        <v>5</v>
      </c>
      <c r="C715" s="2">
        <v>71</v>
      </c>
      <c r="D715" s="2">
        <v>31</v>
      </c>
      <c r="E715" s="2">
        <v>24</v>
      </c>
      <c r="F715" s="2">
        <v>24</v>
      </c>
      <c r="G715" s="2">
        <v>1318900</v>
      </c>
      <c r="H715" s="2">
        <v>164100</v>
      </c>
      <c r="I715" s="2" t="s">
        <v>39</v>
      </c>
    </row>
    <row r="716" spans="1:9">
      <c r="A716" s="3">
        <v>45962</v>
      </c>
      <c r="B716" s="2" t="s">
        <v>6</v>
      </c>
      <c r="C716" s="2">
        <v>6641</v>
      </c>
      <c r="D716" s="2">
        <v>2936</v>
      </c>
      <c r="E716" s="2">
        <v>2777</v>
      </c>
      <c r="F716" s="2">
        <v>2766</v>
      </c>
      <c r="G716" s="2">
        <v>167703000</v>
      </c>
      <c r="H716" s="2">
        <v>45253400</v>
      </c>
      <c r="I716" s="2" t="s">
        <v>41</v>
      </c>
    </row>
    <row r="717" spans="1:9">
      <c r="A717" s="3">
        <v>45778</v>
      </c>
      <c r="B717" s="2" t="s">
        <v>6</v>
      </c>
      <c r="C717" s="2">
        <v>996</v>
      </c>
      <c r="D717" s="2">
        <v>558</v>
      </c>
      <c r="E717" s="2">
        <v>495</v>
      </c>
      <c r="F717" s="2">
        <v>489</v>
      </c>
      <c r="G717" s="2">
        <v>15354575</v>
      </c>
      <c r="H717" s="2">
        <v>5550534.72</v>
      </c>
      <c r="I717" s="2" t="s">
        <v>40</v>
      </c>
    </row>
    <row r="718" spans="1:9">
      <c r="A718" s="3">
        <v>45689</v>
      </c>
      <c r="B718" s="2" t="s">
        <v>8</v>
      </c>
      <c r="C718" s="2">
        <v>1917</v>
      </c>
      <c r="D718" s="2">
        <v>213</v>
      </c>
      <c r="E718" s="2">
        <v>156</v>
      </c>
      <c r="F718" s="2">
        <v>156</v>
      </c>
      <c r="G718" s="2">
        <v>13758225</v>
      </c>
      <c r="H718" s="2">
        <v>904400.41</v>
      </c>
      <c r="I718" s="2" t="s">
        <v>39</v>
      </c>
    </row>
    <row r="719" spans="1:9">
      <c r="A719" s="3">
        <v>45689</v>
      </c>
      <c r="B719" s="2" t="s">
        <v>5</v>
      </c>
      <c r="C719" s="2">
        <v>16471</v>
      </c>
      <c r="D719" s="2">
        <v>9923</v>
      </c>
      <c r="E719" s="2">
        <v>8601</v>
      </c>
      <c r="F719" s="2">
        <v>8509</v>
      </c>
      <c r="G719" s="2">
        <v>295420360</v>
      </c>
      <c r="H719" s="2">
        <v>102398962</v>
      </c>
      <c r="I719" s="2" t="s">
        <v>37</v>
      </c>
    </row>
    <row r="720" spans="1:9">
      <c r="A720" s="3">
        <v>45658</v>
      </c>
      <c r="B720" s="2" t="s">
        <v>9</v>
      </c>
      <c r="C720" s="2">
        <v>312</v>
      </c>
      <c r="D720" s="2">
        <v>16</v>
      </c>
      <c r="E720" s="2">
        <v>6</v>
      </c>
      <c r="F720" s="2">
        <v>6</v>
      </c>
      <c r="G720" s="2">
        <v>2586325</v>
      </c>
      <c r="H720" s="2">
        <v>54300</v>
      </c>
      <c r="I720" s="2" t="s">
        <v>42</v>
      </c>
    </row>
    <row r="721" spans="1:9">
      <c r="A721" s="3">
        <v>45870</v>
      </c>
      <c r="B721" s="2" t="s">
        <v>5</v>
      </c>
      <c r="C721" s="2">
        <v>1</v>
      </c>
      <c r="D721" s="2">
        <v>1</v>
      </c>
      <c r="E721" s="2">
        <v>1</v>
      </c>
      <c r="F721" s="2">
        <v>1</v>
      </c>
      <c r="G721" s="2">
        <v>2000</v>
      </c>
      <c r="H721" s="2">
        <v>2000</v>
      </c>
      <c r="I721" s="2" t="s">
        <v>42</v>
      </c>
    </row>
    <row r="722" spans="1:9">
      <c r="A722" s="3">
        <v>45901</v>
      </c>
      <c r="B722" s="2" t="s">
        <v>42</v>
      </c>
      <c r="C722" s="2">
        <v>5085</v>
      </c>
      <c r="D722" s="2">
        <v>26</v>
      </c>
      <c r="E722" s="2">
        <v>15</v>
      </c>
      <c r="F722" s="2">
        <v>15</v>
      </c>
      <c r="G722" s="2">
        <v>64881445</v>
      </c>
      <c r="H722" s="2">
        <v>193093.15</v>
      </c>
      <c r="I722" s="2" t="s">
        <v>40</v>
      </c>
    </row>
    <row r="723" spans="1:9">
      <c r="A723" s="3">
        <v>45931</v>
      </c>
      <c r="B723" s="2" t="s">
        <v>6</v>
      </c>
      <c r="C723" s="2">
        <v>1073</v>
      </c>
      <c r="D723" s="2">
        <v>628</v>
      </c>
      <c r="E723" s="2">
        <v>545</v>
      </c>
      <c r="F723" s="2">
        <v>537</v>
      </c>
      <c r="G723" s="2">
        <v>16514400</v>
      </c>
      <c r="H723" s="2">
        <v>6158300</v>
      </c>
      <c r="I723" s="2" t="s">
        <v>40</v>
      </c>
    </row>
    <row r="724" spans="1:9">
      <c r="A724" s="3">
        <v>45992</v>
      </c>
      <c r="B724" s="2" t="s">
        <v>9</v>
      </c>
      <c r="C724" s="2">
        <v>3680</v>
      </c>
      <c r="D724" s="2">
        <v>42</v>
      </c>
      <c r="E724" s="2">
        <v>18</v>
      </c>
      <c r="F724" s="2">
        <v>18</v>
      </c>
      <c r="G724" s="2">
        <v>27066151</v>
      </c>
      <c r="H724" s="2">
        <v>228500</v>
      </c>
      <c r="I724" s="2" t="s">
        <v>40</v>
      </c>
    </row>
    <row r="725" spans="1:9">
      <c r="A725" s="3">
        <v>45839</v>
      </c>
      <c r="B725" s="2" t="s">
        <v>7</v>
      </c>
      <c r="C725" s="2">
        <v>5791</v>
      </c>
      <c r="D725" s="2">
        <v>38</v>
      </c>
      <c r="E725" s="2">
        <v>19</v>
      </c>
      <c r="F725" s="2">
        <v>19</v>
      </c>
      <c r="G725" s="2">
        <v>73322435</v>
      </c>
      <c r="H725" s="2">
        <v>136420</v>
      </c>
      <c r="I725" s="2" t="s">
        <v>42</v>
      </c>
    </row>
    <row r="726" spans="1:9">
      <c r="A726" s="3">
        <v>45931</v>
      </c>
      <c r="B726" s="2" t="s">
        <v>9</v>
      </c>
      <c r="C726" s="2">
        <v>9695</v>
      </c>
      <c r="D726" s="2">
        <v>198</v>
      </c>
      <c r="E726" s="2">
        <v>104</v>
      </c>
      <c r="F726" s="2">
        <v>104</v>
      </c>
      <c r="G726" s="2">
        <v>81112175</v>
      </c>
      <c r="H726" s="2">
        <v>1205100</v>
      </c>
      <c r="I726" s="2" t="s">
        <v>43</v>
      </c>
    </row>
    <row r="727" spans="1:9">
      <c r="A727" s="3">
        <v>46023</v>
      </c>
      <c r="B727" s="2" t="s">
        <v>9</v>
      </c>
      <c r="C727" s="2">
        <v>6094</v>
      </c>
      <c r="D727" s="2">
        <v>77</v>
      </c>
      <c r="E727" s="2">
        <v>47</v>
      </c>
      <c r="F727" s="2">
        <v>48</v>
      </c>
      <c r="G727" s="2">
        <v>54625075</v>
      </c>
      <c r="H727" s="2">
        <v>692900</v>
      </c>
      <c r="I727" s="2" t="s">
        <v>35</v>
      </c>
    </row>
    <row r="728" spans="1:9">
      <c r="A728" s="3">
        <v>45658</v>
      </c>
      <c r="B728" s="2" t="s">
        <v>5</v>
      </c>
      <c r="C728" s="2">
        <v>7492</v>
      </c>
      <c r="D728" s="2">
        <v>5029</v>
      </c>
      <c r="E728" s="2">
        <v>4318</v>
      </c>
      <c r="F728" s="2">
        <v>4273</v>
      </c>
      <c r="G728" s="2">
        <v>127641740</v>
      </c>
      <c r="H728" s="2">
        <v>55669971</v>
      </c>
      <c r="I728" s="2" t="s">
        <v>40</v>
      </c>
    </row>
    <row r="729" spans="1:9">
      <c r="A729" s="3">
        <v>45689</v>
      </c>
      <c r="B729" s="2" t="s">
        <v>5</v>
      </c>
      <c r="C729" s="2">
        <v>1300</v>
      </c>
      <c r="D729" s="2">
        <v>821</v>
      </c>
      <c r="E729" s="2">
        <v>708</v>
      </c>
      <c r="F729" s="2">
        <v>701</v>
      </c>
      <c r="G729" s="2">
        <v>20666590</v>
      </c>
      <c r="H729" s="2">
        <v>8039225</v>
      </c>
      <c r="I729" s="2" t="s">
        <v>38</v>
      </c>
    </row>
    <row r="730" spans="1:9">
      <c r="A730" s="3">
        <v>45870</v>
      </c>
      <c r="B730" s="2" t="s">
        <v>6</v>
      </c>
      <c r="C730" s="2">
        <v>539</v>
      </c>
      <c r="D730" s="2">
        <v>274</v>
      </c>
      <c r="E730" s="2">
        <v>231</v>
      </c>
      <c r="F730" s="2">
        <v>229</v>
      </c>
      <c r="G730" s="2">
        <v>7730780</v>
      </c>
      <c r="H730" s="2">
        <v>2457508.67</v>
      </c>
      <c r="I730" s="2" t="s">
        <v>38</v>
      </c>
    </row>
    <row r="731" spans="1:9">
      <c r="A731" s="3">
        <v>46054</v>
      </c>
      <c r="B731" s="2" t="s">
        <v>6</v>
      </c>
      <c r="C731" s="2">
        <v>45</v>
      </c>
      <c r="D731" s="2">
        <v>24</v>
      </c>
      <c r="E731" s="2">
        <v>23</v>
      </c>
      <c r="F731" s="2">
        <v>23</v>
      </c>
      <c r="G731" s="2">
        <v>577200</v>
      </c>
      <c r="H731" s="2">
        <v>192800</v>
      </c>
      <c r="I731" s="2" t="s">
        <v>42</v>
      </c>
    </row>
    <row r="732" spans="1:9">
      <c r="A732" s="3">
        <v>45689</v>
      </c>
      <c r="B732" s="2" t="s">
        <v>7</v>
      </c>
      <c r="C732" s="2">
        <v>165922</v>
      </c>
      <c r="D732" s="2">
        <v>668</v>
      </c>
      <c r="E732" s="2">
        <v>274</v>
      </c>
      <c r="F732" s="2">
        <v>272</v>
      </c>
      <c r="G732" s="2">
        <v>3207396979</v>
      </c>
      <c r="H732" s="2">
        <v>3759924.96</v>
      </c>
      <c r="I732" s="2" t="s">
        <v>36</v>
      </c>
    </row>
    <row r="733" spans="1:9">
      <c r="A733" s="3">
        <v>46082</v>
      </c>
      <c r="B733" s="2" t="s">
        <v>6</v>
      </c>
      <c r="C733" s="2">
        <v>371</v>
      </c>
      <c r="D733" s="2">
        <v>119</v>
      </c>
      <c r="E733" s="2">
        <v>116</v>
      </c>
      <c r="F733" s="2">
        <v>116</v>
      </c>
      <c r="G733" s="2">
        <v>9852100</v>
      </c>
      <c r="H733" s="2">
        <v>2142500</v>
      </c>
      <c r="I733" s="2" t="s">
        <v>41</v>
      </c>
    </row>
    <row r="734" spans="1:9">
      <c r="A734" s="3">
        <v>45931</v>
      </c>
      <c r="B734" s="2" t="s">
        <v>8</v>
      </c>
      <c r="C734" s="2">
        <v>14949</v>
      </c>
      <c r="D734" s="2">
        <v>1630</v>
      </c>
      <c r="E734" s="2">
        <v>1269</v>
      </c>
      <c r="F734" s="2">
        <v>1255</v>
      </c>
      <c r="G734" s="2">
        <v>110913420</v>
      </c>
      <c r="H734" s="2">
        <v>7764400</v>
      </c>
      <c r="I734" s="2" t="s">
        <v>38</v>
      </c>
    </row>
    <row r="735" spans="1:9">
      <c r="A735" s="3">
        <v>45992</v>
      </c>
      <c r="B735" s="2" t="s">
        <v>9</v>
      </c>
      <c r="C735" s="2">
        <v>2405</v>
      </c>
      <c r="D735" s="2">
        <v>39</v>
      </c>
      <c r="E735" s="2">
        <v>18</v>
      </c>
      <c r="F735" s="2">
        <v>18</v>
      </c>
      <c r="G735" s="2">
        <v>16469055</v>
      </c>
      <c r="H735" s="2">
        <v>231800</v>
      </c>
      <c r="I735" s="2" t="s">
        <v>38</v>
      </c>
    </row>
    <row r="736" spans="1:9">
      <c r="A736" s="3">
        <v>45962</v>
      </c>
      <c r="B736" s="2" t="s">
        <v>6</v>
      </c>
      <c r="C736" s="2">
        <v>974</v>
      </c>
      <c r="D736" s="2">
        <v>566</v>
      </c>
      <c r="E736" s="2">
        <v>507</v>
      </c>
      <c r="F736" s="2">
        <v>504</v>
      </c>
      <c r="G736" s="2">
        <v>11936500</v>
      </c>
      <c r="H736" s="2">
        <v>4747400</v>
      </c>
      <c r="I736" s="2" t="s">
        <v>40</v>
      </c>
    </row>
    <row r="737" spans="1:9">
      <c r="A737" s="3">
        <v>46023</v>
      </c>
      <c r="B737" s="2" t="s">
        <v>6</v>
      </c>
      <c r="C737" s="2">
        <v>67</v>
      </c>
      <c r="D737" s="2">
        <v>31</v>
      </c>
      <c r="E737" s="2">
        <v>29</v>
      </c>
      <c r="F737" s="2">
        <v>29</v>
      </c>
      <c r="G737" s="2">
        <v>588900</v>
      </c>
      <c r="H737" s="2">
        <v>168100</v>
      </c>
      <c r="I737" s="2" t="s">
        <v>42</v>
      </c>
    </row>
    <row r="738" spans="1:9">
      <c r="A738" s="3">
        <v>45717</v>
      </c>
      <c r="B738" s="2" t="s">
        <v>9</v>
      </c>
      <c r="C738" s="2">
        <v>338</v>
      </c>
      <c r="D738" s="2">
        <v>11</v>
      </c>
      <c r="E738" s="2">
        <v>7</v>
      </c>
      <c r="F738" s="2">
        <v>7</v>
      </c>
      <c r="G738" s="2">
        <v>2741060</v>
      </c>
      <c r="H738" s="2">
        <v>36700</v>
      </c>
      <c r="I738" s="2" t="s">
        <v>42</v>
      </c>
    </row>
    <row r="739" spans="1:9">
      <c r="A739" s="3">
        <v>46054</v>
      </c>
      <c r="B739" s="2" t="s">
        <v>6</v>
      </c>
      <c r="C739" s="2">
        <v>2895</v>
      </c>
      <c r="D739" s="2">
        <v>1520</v>
      </c>
      <c r="E739" s="2">
        <v>1472</v>
      </c>
      <c r="F739" s="2">
        <v>1466</v>
      </c>
      <c r="G739" s="2">
        <v>39807400</v>
      </c>
      <c r="H739" s="2">
        <v>14793000</v>
      </c>
      <c r="I739" s="2" t="s">
        <v>37</v>
      </c>
    </row>
    <row r="740" spans="1:9">
      <c r="A740" s="3">
        <v>46023</v>
      </c>
      <c r="B740" s="2" t="s">
        <v>6</v>
      </c>
      <c r="C740" s="2">
        <v>5441</v>
      </c>
      <c r="D740" s="2">
        <v>2463</v>
      </c>
      <c r="E740" s="2">
        <v>2391</v>
      </c>
      <c r="F740" s="2">
        <v>2382</v>
      </c>
      <c r="G740" s="2">
        <v>117691100</v>
      </c>
      <c r="H740" s="2">
        <v>32364100</v>
      </c>
      <c r="I740" s="2" t="s">
        <v>41</v>
      </c>
    </row>
    <row r="741" spans="1:9">
      <c r="A741" s="3">
        <v>46054</v>
      </c>
      <c r="B741" s="2" t="s">
        <v>6</v>
      </c>
      <c r="C741" s="2">
        <v>2958</v>
      </c>
      <c r="D741" s="2">
        <v>1475</v>
      </c>
      <c r="E741" s="2">
        <v>1439</v>
      </c>
      <c r="F741" s="2">
        <v>1434</v>
      </c>
      <c r="G741" s="2">
        <v>53998800</v>
      </c>
      <c r="H741" s="2">
        <v>21291400</v>
      </c>
      <c r="I741" s="2" t="s">
        <v>35</v>
      </c>
    </row>
    <row r="742" spans="1:9">
      <c r="A742" s="3">
        <v>45717</v>
      </c>
      <c r="B742" s="2" t="s">
        <v>8</v>
      </c>
      <c r="C742" s="2">
        <v>19439</v>
      </c>
      <c r="D742" s="2">
        <v>3696</v>
      </c>
      <c r="E742" s="2">
        <v>3205</v>
      </c>
      <c r="F742" s="2">
        <v>3168</v>
      </c>
      <c r="G742" s="2">
        <v>167703905</v>
      </c>
      <c r="H742" s="2">
        <v>27064513.99</v>
      </c>
      <c r="I742" s="2" t="s">
        <v>35</v>
      </c>
    </row>
    <row r="743" spans="1:9">
      <c r="A743" s="3">
        <v>45962</v>
      </c>
      <c r="B743" s="2" t="s">
        <v>8</v>
      </c>
      <c r="C743" s="2">
        <v>16699</v>
      </c>
      <c r="D743" s="2">
        <v>2214</v>
      </c>
      <c r="E743" s="2">
        <v>1874</v>
      </c>
      <c r="F743" s="2">
        <v>1833</v>
      </c>
      <c r="G743" s="2">
        <v>125497095</v>
      </c>
      <c r="H743" s="2">
        <v>11873900</v>
      </c>
      <c r="I743" s="2" t="s">
        <v>38</v>
      </c>
    </row>
    <row r="744" spans="1:9">
      <c r="A744" s="3">
        <v>45717</v>
      </c>
      <c r="B744" s="2" t="s">
        <v>9</v>
      </c>
      <c r="C744" s="2">
        <v>5134</v>
      </c>
      <c r="D744" s="2">
        <v>439</v>
      </c>
      <c r="E744" s="2">
        <v>157</v>
      </c>
      <c r="F744" s="2">
        <v>156</v>
      </c>
      <c r="G744" s="2">
        <v>27534065</v>
      </c>
      <c r="H744" s="2">
        <v>583500</v>
      </c>
      <c r="I744" s="2" t="s">
        <v>44</v>
      </c>
    </row>
    <row r="745" spans="1:9">
      <c r="A745" s="3">
        <v>45870</v>
      </c>
      <c r="B745" s="2" t="s">
        <v>9</v>
      </c>
      <c r="C745" s="2">
        <v>1020</v>
      </c>
      <c r="D745" s="2">
        <v>10</v>
      </c>
      <c r="E745" s="2">
        <v>4</v>
      </c>
      <c r="F745" s="2">
        <v>4</v>
      </c>
      <c r="G745" s="2">
        <v>7542490</v>
      </c>
      <c r="H745" s="2">
        <v>83235</v>
      </c>
      <c r="I745" s="2" t="s">
        <v>39</v>
      </c>
    </row>
    <row r="746" spans="1:9">
      <c r="A746" s="3">
        <v>46082</v>
      </c>
      <c r="B746" s="2" t="s">
        <v>5</v>
      </c>
      <c r="C746" s="2">
        <v>218</v>
      </c>
      <c r="D746" s="2">
        <v>97</v>
      </c>
      <c r="E746" s="2">
        <v>91</v>
      </c>
      <c r="F746" s="2">
        <v>89</v>
      </c>
      <c r="G746" s="2">
        <v>3271100</v>
      </c>
      <c r="H746" s="2">
        <v>1049800</v>
      </c>
      <c r="I746" s="2" t="s">
        <v>40</v>
      </c>
    </row>
    <row r="747" spans="1:9">
      <c r="A747" s="3">
        <v>45839</v>
      </c>
      <c r="B747" s="2" t="s">
        <v>8</v>
      </c>
      <c r="C747" s="2">
        <v>7599</v>
      </c>
      <c r="D747" s="2">
        <v>642</v>
      </c>
      <c r="E747" s="2">
        <v>486</v>
      </c>
      <c r="F747" s="2">
        <v>472</v>
      </c>
      <c r="G747" s="2">
        <v>64372945</v>
      </c>
      <c r="H747" s="2">
        <v>3052557.78</v>
      </c>
      <c r="I747" s="2" t="s">
        <v>36</v>
      </c>
    </row>
    <row r="748" spans="1:9">
      <c r="A748" s="3">
        <v>46082</v>
      </c>
      <c r="B748" s="2" t="s">
        <v>6</v>
      </c>
      <c r="C748" s="2">
        <v>1</v>
      </c>
      <c r="D748" s="2">
        <v>0</v>
      </c>
      <c r="E748" s="2" t="s">
        <v>45</v>
      </c>
      <c r="F748" s="2">
        <v>0</v>
      </c>
      <c r="G748" s="2">
        <v>5100</v>
      </c>
      <c r="H748" s="2" t="s">
        <v>45</v>
      </c>
      <c r="I748" s="2" t="s">
        <v>39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20"/>
  <sheetViews>
    <sheetView zoomScale="59" zoomScaleNormal="59" workbookViewId="0">
      <selection activeCell="A3" sqref="A3"/>
    </sheetView>
  </sheetViews>
  <sheetFormatPr defaultColWidth="8.72727272727273" defaultRowHeight="14"/>
  <cols>
    <col min="1" max="1" width="34.5454545454545"/>
    <col min="2" max="8" width="19.6363636363636"/>
    <col min="9" max="9" width="5.54545454545455"/>
    <col min="10" max="16" width="8.54545454545454"/>
    <col min="17" max="17" width="5.54545454545455"/>
  </cols>
  <sheetData>
    <row r="3" spans="1:9">
      <c r="A3" t="s">
        <v>46</v>
      </c>
      <c r="B3" t="s">
        <v>4</v>
      </c>
    </row>
    <row r="4" spans="1:9">
      <c r="A4" t="s">
        <v>3</v>
      </c>
      <c r="B4" t="s">
        <v>10</v>
      </c>
      <c r="C4" t="s">
        <v>7</v>
      </c>
      <c r="D4" t="s">
        <v>6</v>
      </c>
      <c r="E4" t="s">
        <v>5</v>
      </c>
      <c r="F4" t="s">
        <v>8</v>
      </c>
      <c r="G4" t="s">
        <v>9</v>
      </c>
      <c r="H4" t="s">
        <v>42</v>
      </c>
      <c r="I4" t="s">
        <v>11</v>
      </c>
    </row>
    <row r="5" spans="1:9">
      <c r="A5" s="1">
        <v>45658</v>
      </c>
      <c r="B5">
        <v>1</v>
      </c>
      <c r="C5">
        <v>9</v>
      </c>
      <c r="D5">
        <v>9</v>
      </c>
      <c r="E5">
        <v>8</v>
      </c>
      <c r="F5">
        <v>10</v>
      </c>
      <c r="G5">
        <v>10</v>
      </c>
      <c r="H5">
        <v>2</v>
      </c>
      <c r="I5">
        <v>49</v>
      </c>
    </row>
    <row r="6" spans="1:9">
      <c r="A6" s="1">
        <v>45689</v>
      </c>
      <c r="B6">
        <v>1</v>
      </c>
      <c r="C6">
        <v>9</v>
      </c>
      <c r="D6">
        <v>9</v>
      </c>
      <c r="E6">
        <v>9</v>
      </c>
      <c r="F6">
        <v>10</v>
      </c>
      <c r="G6">
        <v>10</v>
      </c>
      <c r="H6">
        <v>2</v>
      </c>
      <c r="I6">
        <v>50</v>
      </c>
    </row>
    <row r="7" spans="1:9">
      <c r="A7" s="1">
        <v>45717</v>
      </c>
      <c r="B7">
        <v>1</v>
      </c>
      <c r="C7">
        <v>9</v>
      </c>
      <c r="D7">
        <v>9</v>
      </c>
      <c r="E7">
        <v>9</v>
      </c>
      <c r="F7">
        <v>10</v>
      </c>
      <c r="G7">
        <v>10</v>
      </c>
      <c r="H7">
        <v>2</v>
      </c>
      <c r="I7">
        <v>50</v>
      </c>
    </row>
    <row r="8" spans="1:9">
      <c r="A8" s="1">
        <v>45748</v>
      </c>
      <c r="B8">
        <v>1</v>
      </c>
      <c r="C8">
        <v>9</v>
      </c>
      <c r="D8">
        <v>9</v>
      </c>
      <c r="E8">
        <v>8</v>
      </c>
      <c r="F8">
        <v>10</v>
      </c>
      <c r="G8">
        <v>10</v>
      </c>
      <c r="H8">
        <v>2</v>
      </c>
      <c r="I8">
        <v>49</v>
      </c>
    </row>
    <row r="9" spans="1:9">
      <c r="A9" s="1">
        <v>45778</v>
      </c>
      <c r="B9">
        <v>1</v>
      </c>
      <c r="C9">
        <v>9</v>
      </c>
      <c r="D9">
        <v>9</v>
      </c>
      <c r="E9">
        <v>8</v>
      </c>
      <c r="F9">
        <v>10</v>
      </c>
      <c r="G9">
        <v>10</v>
      </c>
      <c r="H9">
        <v>2</v>
      </c>
      <c r="I9">
        <v>49</v>
      </c>
    </row>
    <row r="10" spans="1:9">
      <c r="A10" s="1">
        <v>45809</v>
      </c>
      <c r="B10">
        <v>1</v>
      </c>
      <c r="C10">
        <v>9</v>
      </c>
      <c r="D10">
        <v>9</v>
      </c>
      <c r="E10">
        <v>8</v>
      </c>
      <c r="F10">
        <v>10</v>
      </c>
      <c r="G10">
        <v>10</v>
      </c>
      <c r="H10">
        <v>2</v>
      </c>
      <c r="I10">
        <v>49</v>
      </c>
    </row>
    <row r="11" spans="1:9">
      <c r="A11" s="1">
        <v>45839</v>
      </c>
      <c r="B11">
        <v>1</v>
      </c>
      <c r="C11">
        <v>9</v>
      </c>
      <c r="D11">
        <v>9</v>
      </c>
      <c r="E11">
        <v>9</v>
      </c>
      <c r="F11">
        <v>10</v>
      </c>
      <c r="G11">
        <v>10</v>
      </c>
      <c r="H11">
        <v>2</v>
      </c>
      <c r="I11">
        <v>50</v>
      </c>
    </row>
    <row r="12" spans="1:9">
      <c r="A12" s="1">
        <v>45870</v>
      </c>
      <c r="B12">
        <v>2</v>
      </c>
      <c r="C12">
        <v>9</v>
      </c>
      <c r="D12">
        <v>9</v>
      </c>
      <c r="E12">
        <v>9</v>
      </c>
      <c r="F12">
        <v>10</v>
      </c>
      <c r="G12">
        <v>10</v>
      </c>
      <c r="H12">
        <v>2</v>
      </c>
      <c r="I12">
        <v>51</v>
      </c>
    </row>
    <row r="13" spans="1:9">
      <c r="A13" s="1">
        <v>45901</v>
      </c>
      <c r="B13">
        <v>2</v>
      </c>
      <c r="C13">
        <v>9</v>
      </c>
      <c r="D13">
        <v>9</v>
      </c>
      <c r="E13">
        <v>8</v>
      </c>
      <c r="F13">
        <v>10</v>
      </c>
      <c r="G13">
        <v>10</v>
      </c>
      <c r="H13">
        <v>2</v>
      </c>
      <c r="I13">
        <v>50</v>
      </c>
    </row>
    <row r="14" spans="1:9">
      <c r="A14" s="1">
        <v>45931</v>
      </c>
      <c r="B14">
        <v>2</v>
      </c>
      <c r="C14">
        <v>9</v>
      </c>
      <c r="D14">
        <v>9</v>
      </c>
      <c r="E14">
        <v>9</v>
      </c>
      <c r="F14">
        <v>10</v>
      </c>
      <c r="G14">
        <v>10</v>
      </c>
      <c r="H14">
        <v>2</v>
      </c>
      <c r="I14">
        <v>51</v>
      </c>
    </row>
    <row r="15" spans="1:9">
      <c r="A15" s="1">
        <v>45962</v>
      </c>
      <c r="B15">
        <v>2</v>
      </c>
      <c r="C15">
        <v>9</v>
      </c>
      <c r="D15">
        <v>9</v>
      </c>
      <c r="E15">
        <v>8</v>
      </c>
      <c r="F15">
        <v>10</v>
      </c>
      <c r="G15">
        <v>10</v>
      </c>
      <c r="H15">
        <v>2</v>
      </c>
      <c r="I15">
        <v>50</v>
      </c>
    </row>
    <row r="16" spans="1:9">
      <c r="A16" s="1">
        <v>45992</v>
      </c>
      <c r="B16">
        <v>2</v>
      </c>
      <c r="C16">
        <v>9</v>
      </c>
      <c r="D16">
        <v>9</v>
      </c>
      <c r="E16">
        <v>8</v>
      </c>
      <c r="F16">
        <v>10</v>
      </c>
      <c r="G16">
        <v>10</v>
      </c>
      <c r="H16">
        <v>2</v>
      </c>
      <c r="I16">
        <v>50</v>
      </c>
    </row>
    <row r="17" spans="1:9">
      <c r="A17" s="1">
        <v>46023</v>
      </c>
      <c r="B17">
        <v>2</v>
      </c>
      <c r="C17">
        <v>9</v>
      </c>
      <c r="D17">
        <v>9</v>
      </c>
      <c r="E17">
        <v>8</v>
      </c>
      <c r="F17">
        <v>10</v>
      </c>
      <c r="G17">
        <v>10</v>
      </c>
      <c r="H17">
        <v>2</v>
      </c>
      <c r="I17">
        <v>50</v>
      </c>
    </row>
    <row r="18" spans="1:9">
      <c r="A18" s="1">
        <v>46054</v>
      </c>
      <c r="B18">
        <v>2</v>
      </c>
      <c r="C18">
        <v>9</v>
      </c>
      <c r="D18">
        <v>9</v>
      </c>
      <c r="E18">
        <v>8</v>
      </c>
      <c r="F18">
        <v>10</v>
      </c>
      <c r="G18">
        <v>10</v>
      </c>
      <c r="H18">
        <v>2</v>
      </c>
      <c r="I18">
        <v>50</v>
      </c>
    </row>
    <row r="19" spans="1:9">
      <c r="A19" s="1">
        <v>46082</v>
      </c>
      <c r="B19">
        <v>2</v>
      </c>
      <c r="C19">
        <v>9</v>
      </c>
      <c r="D19">
        <v>9</v>
      </c>
      <c r="E19">
        <v>7</v>
      </c>
      <c r="F19">
        <v>10</v>
      </c>
      <c r="G19">
        <v>10</v>
      </c>
      <c r="H19">
        <v>2</v>
      </c>
      <c r="I19">
        <v>49</v>
      </c>
    </row>
    <row r="20" spans="1:9">
      <c r="A20" t="s">
        <v>11</v>
      </c>
      <c r="B20">
        <v>23</v>
      </c>
      <c r="C20">
        <v>135</v>
      </c>
      <c r="D20">
        <v>135</v>
      </c>
      <c r="E20">
        <v>124</v>
      </c>
      <c r="F20">
        <v>150</v>
      </c>
      <c r="G20">
        <v>150</v>
      </c>
      <c r="H20">
        <v>30</v>
      </c>
      <c r="I20">
        <v>747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7" sqref="B4:J2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7" sqref="B4:J2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图表+透视表</vt:lpstr>
      <vt:lpstr>首借交易源数据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王铭未</dc:creator>
  <cp:lastModifiedBy>Ming</cp:lastModifiedBy>
  <dcterms:created xsi:type="dcterms:W3CDTF">2023-05-12T11:15:00Z</dcterms:created>
  <dcterms:modified xsi:type="dcterms:W3CDTF">2026-03-03T10:42:44Z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1E17904B47774580AFA9F8926DEE6EEA_12</vt:lpwstr>
  </property>
  <property fmtid="{D5CDD505-2E9C-101B-9397-08002B2CF9AE}" pid="4" name="CalculationRule">
    <vt:i4>0</vt:i4>
  </property>
</Properties>
</file>